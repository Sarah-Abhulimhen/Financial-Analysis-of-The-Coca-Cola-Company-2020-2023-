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\Documents\1 ACC\"/>
    </mc:Choice>
  </mc:AlternateContent>
  <xr:revisionPtr revIDLastSave="0" documentId="13_ncr:1_{03387B5E-A1B5-4D91-B5D4-9495D331DA7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he Raw Data " sheetId="4" r:id="rId1"/>
    <sheet name="Overview" sheetId="2" r:id="rId2"/>
    <sheet name="Ratio Calculations" sheetId="3" r:id="rId3"/>
    <sheet name="Charts" sheetId="5" r:id="rId4"/>
  </sheets>
  <definedNames>
    <definedName name="_xlchart.v1.0" hidden="1">'Ratio Calculations'!$N$44</definedName>
    <definedName name="_xlchart.v1.1" hidden="1">'Ratio Calculations'!$N$45</definedName>
    <definedName name="_xlchart.v1.10" hidden="1">'Ratio Calculations'!$O$32:$R$32</definedName>
    <definedName name="_xlchart.v1.11" hidden="1">'Ratio Calculations'!$O$44:$R$44</definedName>
    <definedName name="_xlchart.v1.12" hidden="1">'Ratio Calculations'!$O$45:$R$45</definedName>
    <definedName name="_xlchart.v1.13" hidden="1">'Ratio Calculations'!$O$32:$R$32</definedName>
    <definedName name="_xlchart.v1.14" hidden="1">'Ratio Calculations'!$O$38:$R$38</definedName>
    <definedName name="_xlchart.v1.15" hidden="1">'Ratio Calculations'!$O$39:$R$39</definedName>
    <definedName name="_xlchart.v1.2" hidden="1">'Ratio Calculations'!$O$32:$R$32</definedName>
    <definedName name="_xlchart.v1.3" hidden="1">'Ratio Calculations'!$O$44:$R$44</definedName>
    <definedName name="_xlchart.v1.4" hidden="1">'Ratio Calculations'!$O$45:$R$45</definedName>
    <definedName name="_xlchart.v1.5" hidden="1">'Ratio Calculations'!$N$44</definedName>
    <definedName name="_xlchart.v1.6" hidden="1">'Ratio Calculations'!$N$45</definedName>
    <definedName name="_xlchart.v1.7" hidden="1">'Ratio Calculations'!$O$32:$R$32</definedName>
    <definedName name="_xlchart.v1.8" hidden="1">'Ratio Calculations'!$O$44:$R$44</definedName>
    <definedName name="_xlchart.v1.9" hidden="1">'Ratio Calculations'!$O$45:$R$45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1" i="3" l="1"/>
  <c r="I53" i="3" s="1"/>
  <c r="R47" i="3" s="1"/>
  <c r="H51" i="3"/>
  <c r="G51" i="3"/>
  <c r="G53" i="3" s="1"/>
  <c r="P47" i="3" s="1"/>
  <c r="F51" i="3"/>
  <c r="F53" i="3" s="1"/>
  <c r="O47" i="3" s="1"/>
  <c r="R28" i="3"/>
  <c r="Q28" i="3"/>
  <c r="P28" i="3"/>
  <c r="O28" i="3"/>
  <c r="R27" i="3"/>
  <c r="I52" i="3" s="1"/>
  <c r="Q27" i="3"/>
  <c r="H52" i="3" s="1"/>
  <c r="H53" i="3" s="1"/>
  <c r="Q47" i="3" s="1"/>
  <c r="P27" i="3"/>
  <c r="G52" i="3" s="1"/>
  <c r="O27" i="3"/>
  <c r="F52" i="3" s="1"/>
  <c r="R26" i="3"/>
  <c r="Q26" i="3"/>
  <c r="P26" i="3"/>
  <c r="O26" i="3"/>
  <c r="R25" i="3"/>
  <c r="I25" i="3" s="1"/>
  <c r="Q25" i="3"/>
  <c r="H25" i="3" s="1"/>
  <c r="P25" i="3"/>
  <c r="G30" i="3" s="1"/>
  <c r="G33" i="3" s="1"/>
  <c r="P38" i="3" s="1"/>
  <c r="O25" i="3"/>
  <c r="F30" i="3" s="1"/>
  <c r="F33" i="3" s="1"/>
  <c r="O38" i="3" s="1"/>
  <c r="R24" i="3"/>
  <c r="I36" i="3" s="1"/>
  <c r="Q24" i="3"/>
  <c r="H36" i="3" s="1"/>
  <c r="P24" i="3"/>
  <c r="G36" i="3" s="1"/>
  <c r="O24" i="3"/>
  <c r="F36" i="3" s="1"/>
  <c r="R22" i="3"/>
  <c r="I47" i="3" s="1"/>
  <c r="Q22" i="3"/>
  <c r="H47" i="3" s="1"/>
  <c r="P22" i="3"/>
  <c r="G47" i="3" s="1"/>
  <c r="O22" i="3"/>
  <c r="F47" i="3" s="1"/>
  <c r="R21" i="3"/>
  <c r="I46" i="3" s="1"/>
  <c r="Q21" i="3"/>
  <c r="H46" i="3" s="1"/>
  <c r="P21" i="3"/>
  <c r="G46" i="3" s="1"/>
  <c r="O21" i="3"/>
  <c r="F46" i="3" s="1"/>
  <c r="F48" i="3" s="1"/>
  <c r="O45" i="3" s="1"/>
  <c r="R20" i="3"/>
  <c r="I26" i="3" s="1"/>
  <c r="Q20" i="3"/>
  <c r="H26" i="3" s="1"/>
  <c r="P20" i="3"/>
  <c r="G26" i="3" s="1"/>
  <c r="O20" i="3"/>
  <c r="F26" i="3" s="1"/>
  <c r="R19" i="3"/>
  <c r="I16" i="3" s="1"/>
  <c r="Q19" i="3"/>
  <c r="H16" i="3" s="1"/>
  <c r="P19" i="3"/>
  <c r="G16" i="3" s="1"/>
  <c r="O19" i="3"/>
  <c r="F16" i="3" s="1"/>
  <c r="R18" i="3"/>
  <c r="I24" i="3" s="1"/>
  <c r="I27" i="3" s="1"/>
  <c r="R42" i="3" s="1"/>
  <c r="Q18" i="3"/>
  <c r="H24" i="3" s="1"/>
  <c r="H27" i="3" s="1"/>
  <c r="Q42" i="3" s="1"/>
  <c r="P18" i="3"/>
  <c r="G24" i="3" s="1"/>
  <c r="O18" i="3"/>
  <c r="F24" i="3" s="1"/>
  <c r="I15" i="3"/>
  <c r="I17" i="3" s="1"/>
  <c r="R36" i="3" s="1"/>
  <c r="H15" i="3"/>
  <c r="H17" i="3" s="1"/>
  <c r="Q36" i="3" s="1"/>
  <c r="G15" i="3"/>
  <c r="G17" i="3" s="1"/>
  <c r="P36" i="3" s="1"/>
  <c r="F15" i="3"/>
  <c r="F17" i="3" s="1"/>
  <c r="O36" i="3" s="1"/>
  <c r="R11" i="3"/>
  <c r="I31" i="3" s="1"/>
  <c r="Q11" i="3"/>
  <c r="H31" i="3" s="1"/>
  <c r="P11" i="3"/>
  <c r="G31" i="3" s="1"/>
  <c r="O11" i="3"/>
  <c r="F31" i="3" s="1"/>
  <c r="G11" i="3"/>
  <c r="F11" i="3"/>
  <c r="R10" i="3"/>
  <c r="Q10" i="3"/>
  <c r="P10" i="3"/>
  <c r="O10" i="3"/>
  <c r="R9" i="3"/>
  <c r="I43" i="3" s="1"/>
  <c r="Q9" i="3"/>
  <c r="H43" i="3" s="1"/>
  <c r="P9" i="3"/>
  <c r="G43" i="3" s="1"/>
  <c r="O9" i="3"/>
  <c r="F43" i="3" s="1"/>
  <c r="R8" i="3"/>
  <c r="I42" i="3" s="1"/>
  <c r="Q8" i="3"/>
  <c r="H42" i="3" s="1"/>
  <c r="P8" i="3"/>
  <c r="G42" i="3" s="1"/>
  <c r="G44" i="3" s="1"/>
  <c r="P44" i="3" s="1"/>
  <c r="O8" i="3"/>
  <c r="F42" i="3" s="1"/>
  <c r="F44" i="3" s="1"/>
  <c r="O44" i="3" s="1"/>
  <c r="R7" i="3"/>
  <c r="I37" i="3" s="1"/>
  <c r="Q7" i="3"/>
  <c r="H37" i="3" s="1"/>
  <c r="P7" i="3"/>
  <c r="G12" i="3" s="1"/>
  <c r="O7" i="3"/>
  <c r="F12" i="3" s="1"/>
  <c r="I6" i="3"/>
  <c r="H6" i="3"/>
  <c r="G6" i="3"/>
  <c r="F6" i="3"/>
  <c r="H21" i="2"/>
  <c r="I21" i="2" s="1"/>
  <c r="F21" i="2"/>
  <c r="G21" i="2" s="1"/>
  <c r="D21" i="2"/>
  <c r="E21" i="2" s="1"/>
  <c r="C21" i="2"/>
  <c r="I20" i="2"/>
  <c r="H20" i="2"/>
  <c r="F20" i="2"/>
  <c r="D20" i="2"/>
  <c r="G20" i="2" s="1"/>
  <c r="C20" i="2"/>
  <c r="H19" i="2"/>
  <c r="I19" i="2" s="1"/>
  <c r="F19" i="2"/>
  <c r="G19" i="2" s="1"/>
  <c r="D19" i="2"/>
  <c r="E19" i="2" s="1"/>
  <c r="C19" i="2"/>
  <c r="H18" i="2"/>
  <c r="I18" i="2" s="1"/>
  <c r="G18" i="2"/>
  <c r="F18" i="2"/>
  <c r="E18" i="2"/>
  <c r="D18" i="2"/>
  <c r="C18" i="2"/>
  <c r="H17" i="2"/>
  <c r="I17" i="2" s="1"/>
  <c r="F17" i="2"/>
  <c r="G17" i="2" s="1"/>
  <c r="D17" i="2"/>
  <c r="E17" i="2" s="1"/>
  <c r="C17" i="2"/>
  <c r="H10" i="2"/>
  <c r="I10" i="2" s="1"/>
  <c r="F10" i="2"/>
  <c r="G10" i="2" s="1"/>
  <c r="E10" i="2"/>
  <c r="D10" i="2"/>
  <c r="C10" i="2"/>
  <c r="H9" i="2"/>
  <c r="I9" i="2" s="1"/>
  <c r="F9" i="2"/>
  <c r="G9" i="2" s="1"/>
  <c r="D9" i="2"/>
  <c r="E9" i="2" s="1"/>
  <c r="C9" i="2"/>
  <c r="H8" i="2"/>
  <c r="F8" i="2"/>
  <c r="I8" i="2" s="1"/>
  <c r="D8" i="2"/>
  <c r="E8" i="2" s="1"/>
  <c r="C8" i="2"/>
  <c r="H7" i="2"/>
  <c r="I7" i="2" s="1"/>
  <c r="F7" i="2"/>
  <c r="G7" i="2" s="1"/>
  <c r="D7" i="2"/>
  <c r="E7" i="2" s="1"/>
  <c r="C7" i="2"/>
  <c r="I6" i="2"/>
  <c r="H6" i="2"/>
  <c r="F6" i="2"/>
  <c r="D6" i="2"/>
  <c r="G6" i="2" s="1"/>
  <c r="C6" i="2"/>
  <c r="I44" i="3" l="1"/>
  <c r="R44" i="3" s="1"/>
  <c r="G48" i="3"/>
  <c r="P45" i="3" s="1"/>
  <c r="H44" i="3"/>
  <c r="Q44" i="3" s="1"/>
  <c r="F13" i="3"/>
  <c r="O35" i="3" s="1"/>
  <c r="H48" i="3"/>
  <c r="Q45" i="3" s="1"/>
  <c r="H39" i="3"/>
  <c r="Q39" i="3" s="1"/>
  <c r="F39" i="3"/>
  <c r="O39" i="3" s="1"/>
  <c r="G13" i="3"/>
  <c r="P35" i="3" s="1"/>
  <c r="I48" i="3"/>
  <c r="R45" i="3" s="1"/>
  <c r="I39" i="3"/>
  <c r="R39" i="3" s="1"/>
  <c r="H11" i="3"/>
  <c r="H13" i="3" s="1"/>
  <c r="Q35" i="3" s="1"/>
  <c r="H30" i="3"/>
  <c r="H33" i="3" s="1"/>
  <c r="Q38" i="3" s="1"/>
  <c r="I11" i="3"/>
  <c r="E6" i="2"/>
  <c r="G8" i="2"/>
  <c r="E20" i="2"/>
  <c r="F7" i="3"/>
  <c r="F9" i="3" s="1"/>
  <c r="O34" i="3" s="1"/>
  <c r="F8" i="3"/>
  <c r="F20" i="3"/>
  <c r="F21" i="3"/>
  <c r="F25" i="3"/>
  <c r="F27" i="3" s="1"/>
  <c r="O42" i="3" s="1"/>
  <c r="F37" i="3"/>
  <c r="G7" i="3"/>
  <c r="G9" i="3" s="1"/>
  <c r="P34" i="3" s="1"/>
  <c r="G8" i="3"/>
  <c r="G20" i="3"/>
  <c r="G21" i="3"/>
  <c r="G25" i="3"/>
  <c r="G27" i="3" s="1"/>
  <c r="P42" i="3" s="1"/>
  <c r="G37" i="3"/>
  <c r="G39" i="3" s="1"/>
  <c r="P39" i="3" s="1"/>
  <c r="H12" i="3"/>
  <c r="I12" i="3"/>
  <c r="I30" i="3"/>
  <c r="I33" i="3" s="1"/>
  <c r="R38" i="3" s="1"/>
  <c r="H7" i="3"/>
  <c r="H9" i="3" s="1"/>
  <c r="Q34" i="3" s="1"/>
  <c r="H8" i="3"/>
  <c r="H20" i="3"/>
  <c r="H21" i="3"/>
  <c r="I7" i="3"/>
  <c r="I9" i="3" s="1"/>
  <c r="R34" i="3" s="1"/>
  <c r="I8" i="3"/>
  <c r="I20" i="3"/>
  <c r="I21" i="3"/>
  <c r="G22" i="3" l="1"/>
  <c r="P41" i="3" s="1"/>
  <c r="I22" i="3"/>
  <c r="R41" i="3" s="1"/>
  <c r="I13" i="3"/>
  <c r="R35" i="3" s="1"/>
  <c r="F22" i="3"/>
  <c r="O41" i="3" s="1"/>
  <c r="H22" i="3"/>
  <c r="Q41" i="3" s="1"/>
</calcChain>
</file>

<file path=xl/sharedStrings.xml><?xml version="1.0" encoding="utf-8"?>
<sst xmlns="http://schemas.openxmlformats.org/spreadsheetml/2006/main" count="120" uniqueCount="81">
  <si>
    <t>Income statement(£m)</t>
  </si>
  <si>
    <t xml:space="preserve">Revenue </t>
  </si>
  <si>
    <t xml:space="preserve">Operating profit </t>
  </si>
  <si>
    <t>Financal costs</t>
  </si>
  <si>
    <t xml:space="preserve">net profit </t>
  </si>
  <si>
    <t xml:space="preserve">Cost of sales </t>
  </si>
  <si>
    <t>Balance sheet (£m) except in number of shares</t>
  </si>
  <si>
    <t>Current assets</t>
  </si>
  <si>
    <t xml:space="preserve">Noncurrent sssets </t>
  </si>
  <si>
    <t xml:space="preserve">current liabilities </t>
  </si>
  <si>
    <t>non current liabilities</t>
  </si>
  <si>
    <t xml:space="preserve">equity </t>
  </si>
  <si>
    <t xml:space="preserve">Receivables </t>
  </si>
  <si>
    <t xml:space="preserve">inventories </t>
  </si>
  <si>
    <t xml:space="preserve">Payables </t>
  </si>
  <si>
    <t xml:space="preserve">Number of shares </t>
  </si>
  <si>
    <t xml:space="preserve">Dividend paid </t>
  </si>
  <si>
    <t>Income statement</t>
  </si>
  <si>
    <t xml:space="preserve">% change </t>
  </si>
  <si>
    <t xml:space="preserve">Balance sheet </t>
  </si>
  <si>
    <t xml:space="preserve">Profitability </t>
  </si>
  <si>
    <t xml:space="preserve">Return on Capital Employed </t>
  </si>
  <si>
    <r>
      <rPr>
        <u/>
        <sz val="11"/>
        <color theme="1"/>
        <rFont val="Calibri"/>
        <charset val="134"/>
        <scheme val="minor"/>
      </rPr>
      <t xml:space="preserve">Operating Profit (PBIT)        x 100
</t>
    </r>
    <r>
      <rPr>
        <sz val="11"/>
        <color theme="1"/>
        <rFont val="Calibri"/>
        <charset val="134"/>
        <scheme val="minor"/>
      </rPr>
      <t xml:space="preserve">Total Asset - current liabilities </t>
    </r>
    <r>
      <rPr>
        <u/>
        <sz val="11"/>
        <color theme="1"/>
        <rFont val="Calibri"/>
        <charset val="134"/>
        <scheme val="minor"/>
      </rPr>
      <t xml:space="preserve">
</t>
    </r>
  </si>
  <si>
    <t>Operating profit (Earnings from Operations)</t>
  </si>
  <si>
    <t>Total Assets</t>
  </si>
  <si>
    <t xml:space="preserve">Current liabilities </t>
  </si>
  <si>
    <t xml:space="preserve">Operating profit margin </t>
  </si>
  <si>
    <r>
      <rPr>
        <u/>
        <sz val="11"/>
        <color theme="1"/>
        <rFont val="Calibri"/>
        <charset val="134"/>
        <scheme val="minor"/>
      </rPr>
      <t xml:space="preserve">Operating Profit   x 100
</t>
    </r>
    <r>
      <rPr>
        <sz val="11"/>
        <color theme="1"/>
        <rFont val="Calibri"/>
        <charset val="134"/>
        <scheme val="minor"/>
      </rPr>
      <t xml:space="preserve">Total Revenue  </t>
    </r>
    <r>
      <rPr>
        <u/>
        <sz val="11"/>
        <color theme="1"/>
        <rFont val="Calibri"/>
        <charset val="134"/>
        <scheme val="minor"/>
      </rPr>
      <t xml:space="preserve">
</t>
    </r>
  </si>
  <si>
    <t>Total Revenue</t>
  </si>
  <si>
    <t xml:space="preserve">Return on Assets </t>
  </si>
  <si>
    <r>
      <rPr>
        <u/>
        <sz val="11"/>
        <color theme="1"/>
        <rFont val="Calibri"/>
        <charset val="134"/>
        <scheme val="minor"/>
      </rPr>
      <t xml:space="preserve">Net profit (profit for the year) x 100
</t>
    </r>
    <r>
      <rPr>
        <sz val="11"/>
        <color theme="1"/>
        <rFont val="Calibri"/>
        <charset val="134"/>
        <scheme val="minor"/>
      </rPr>
      <t xml:space="preserve">Total Assets   </t>
    </r>
    <r>
      <rPr>
        <u/>
        <sz val="11"/>
        <color theme="1"/>
        <rFont val="Calibri"/>
        <charset val="134"/>
        <scheme val="minor"/>
      </rPr>
      <t xml:space="preserve">
</t>
    </r>
  </si>
  <si>
    <t>Net profit/loss</t>
  </si>
  <si>
    <t xml:space="preserve">Liquidity Ratio </t>
  </si>
  <si>
    <t xml:space="preserve">Current Ratio 
(expressed as a ratio X:Y) </t>
  </si>
  <si>
    <r>
      <rPr>
        <u/>
        <sz val="11"/>
        <color theme="1"/>
        <rFont val="Calibri"/>
        <charset val="134"/>
        <scheme val="minor"/>
      </rPr>
      <t>Current Asset</t>
    </r>
    <r>
      <rPr>
        <sz val="11"/>
        <color theme="1"/>
        <rFont val="Calibri"/>
        <charset val="134"/>
        <scheme val="minor"/>
      </rPr>
      <t xml:space="preserve"> 
Current Liabilities </t>
    </r>
  </si>
  <si>
    <t xml:space="preserve">Current Asset </t>
  </si>
  <si>
    <t xml:space="preserve">Current Liabilities </t>
  </si>
  <si>
    <t xml:space="preserve">Quick Ratio 
(expressed as a ratio X:Y) </t>
  </si>
  <si>
    <r>
      <rPr>
        <u/>
        <sz val="11"/>
        <color theme="1"/>
        <rFont val="Calibri"/>
        <charset val="134"/>
        <scheme val="minor"/>
      </rPr>
      <t>(Current Asset - inventories)</t>
    </r>
    <r>
      <rPr>
        <sz val="11"/>
        <color theme="1"/>
        <rFont val="Calibri"/>
        <charset val="134"/>
        <scheme val="minor"/>
      </rPr>
      <t xml:space="preserve">
Current Liabilities </t>
    </r>
  </si>
  <si>
    <t xml:space="preserve">Inventories </t>
  </si>
  <si>
    <t>Efficiency Ratios</t>
  </si>
  <si>
    <t xml:space="preserve">Inventory Turnover Days </t>
  </si>
  <si>
    <r>
      <rPr>
        <u/>
        <sz val="12"/>
        <color theme="1"/>
        <rFont val="Calibri"/>
        <charset val="134"/>
        <scheme val="minor"/>
      </rPr>
      <t xml:space="preserve">Inventory  x 365 days
</t>
    </r>
    <r>
      <rPr>
        <sz val="12"/>
        <color theme="1"/>
        <rFont val="Calibri"/>
        <charset val="134"/>
        <scheme val="minor"/>
      </rPr>
      <t xml:space="preserve">Cost of sales </t>
    </r>
  </si>
  <si>
    <t>inventory</t>
  </si>
  <si>
    <t>Cost of sales</t>
  </si>
  <si>
    <t>Summary of ratios</t>
  </si>
  <si>
    <t xml:space="preserve">profitability </t>
  </si>
  <si>
    <t>ROCE</t>
  </si>
  <si>
    <t>Operating profit margin</t>
  </si>
  <si>
    <t xml:space="preserve">Receivables turnover days </t>
  </si>
  <si>
    <r>
      <rPr>
        <u/>
        <sz val="12"/>
        <color theme="1"/>
        <rFont val="Calibri"/>
        <charset val="134"/>
        <scheme val="minor"/>
      </rPr>
      <t xml:space="preserve">Receivables      x 365 days
</t>
    </r>
    <r>
      <rPr>
        <sz val="12"/>
        <color theme="1"/>
        <rFont val="Calibri"/>
        <charset val="134"/>
        <scheme val="minor"/>
      </rPr>
      <t xml:space="preserve">Total Revenue </t>
    </r>
  </si>
  <si>
    <t>Average receivables</t>
  </si>
  <si>
    <t xml:space="preserve">return on assets </t>
  </si>
  <si>
    <t xml:space="preserve">Total Revenue </t>
  </si>
  <si>
    <t xml:space="preserve">Efficiency </t>
  </si>
  <si>
    <t>Inventory Turnover days</t>
  </si>
  <si>
    <t>receivable Turnover days</t>
  </si>
  <si>
    <t xml:space="preserve">liquidity </t>
  </si>
  <si>
    <t>Gearing Ratios</t>
  </si>
  <si>
    <t>Current ratio</t>
  </si>
  <si>
    <t>Interest Coverage (Number of times)</t>
  </si>
  <si>
    <r>
      <rPr>
        <u/>
        <sz val="12"/>
        <color theme="1"/>
        <rFont val="Calibri"/>
        <charset val="134"/>
        <scheme val="minor"/>
      </rPr>
      <t xml:space="preserve">Operating Profit 
</t>
    </r>
    <r>
      <rPr>
        <sz val="12"/>
        <color theme="1"/>
        <rFont val="Calibri"/>
        <charset val="134"/>
        <scheme val="minor"/>
      </rPr>
      <t>Interest on Loan (Finance costs)</t>
    </r>
  </si>
  <si>
    <t>Quick ratio</t>
  </si>
  <si>
    <t>Interest on loan</t>
  </si>
  <si>
    <t>Gearing Ratio</t>
  </si>
  <si>
    <t xml:space="preserve">interest cover </t>
  </si>
  <si>
    <t>Gearing Ratio (%)</t>
  </si>
  <si>
    <r>
      <rPr>
        <u/>
        <sz val="12"/>
        <color theme="1"/>
        <rFont val="Calibri"/>
        <charset val="134"/>
        <scheme val="minor"/>
      </rPr>
      <t xml:space="preserve">Non-current liabilities x 100%
</t>
    </r>
    <r>
      <rPr>
        <sz val="12"/>
        <color theme="1"/>
        <rFont val="Calibri"/>
        <charset val="134"/>
        <scheme val="minor"/>
      </rPr>
      <t xml:space="preserve">Non-current liabilities + total equity </t>
    </r>
  </si>
  <si>
    <t xml:space="preserve">Non-current liabilities </t>
  </si>
  <si>
    <t>Investment potential ratio</t>
  </si>
  <si>
    <t xml:space="preserve">Total equity </t>
  </si>
  <si>
    <t xml:space="preserve">earning per share </t>
  </si>
  <si>
    <t xml:space="preserve">Investment Ratio </t>
  </si>
  <si>
    <t xml:space="preserve">Earnings per Share </t>
  </si>
  <si>
    <t>Net income (Profit for the Year)</t>
  </si>
  <si>
    <t xml:space="preserve">Net income </t>
  </si>
  <si>
    <t xml:space="preserve">Number of ordinary shares </t>
  </si>
  <si>
    <t xml:space="preserve">sainsbury's </t>
  </si>
  <si>
    <t xml:space="preserve">Tesco </t>
  </si>
  <si>
    <t xml:space="preserve">gearing ratio </t>
  </si>
  <si>
    <t>The Coca-Cola Company: Financial Performance Analysis (2020–2023)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</si>
</sst>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sz val="14"/>
      <color theme="1"/>
      <name val="Arial"/>
      <charset val="134"/>
    </font>
    <font>
      <b/>
      <sz val="1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Arial"/>
      <charset val="134"/>
    </font>
    <font>
      <u/>
      <sz val="11"/>
      <color theme="1"/>
      <name val="Calibri"/>
      <charset val="134"/>
      <scheme val="minor"/>
    </font>
    <font>
      <b/>
      <sz val="14"/>
      <color rgb="FF231F20"/>
      <name val="Arial"/>
      <charset val="134"/>
    </font>
    <font>
      <b/>
      <u/>
      <sz val="14"/>
      <color theme="1"/>
      <name val="Arial"/>
      <charset val="134"/>
    </font>
    <font>
      <b/>
      <sz val="12"/>
      <name val="Calibri"/>
      <charset val="134"/>
      <scheme val="minor"/>
    </font>
    <font>
      <b/>
      <sz val="14"/>
      <name val="Arial"/>
      <charset val="134"/>
    </font>
    <font>
      <u/>
      <sz val="12"/>
      <color theme="1"/>
      <name val="Calibri"/>
      <charset val="134"/>
      <scheme val="minor"/>
    </font>
    <font>
      <sz val="14"/>
      <name val="Arial"/>
      <charset val="134"/>
    </font>
    <font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4"/>
      <color rgb="FF000000"/>
      <name val="Arial"/>
      <charset val="134"/>
    </font>
    <font>
      <u/>
      <sz val="11"/>
      <color rgb="FF00000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0"/>
      <color rgb="FF231F20"/>
      <name val="Arial"/>
      <charset val="134"/>
    </font>
    <font>
      <sz val="10"/>
      <color rgb="FF231F20"/>
      <name val="Arial"/>
      <charset val="134"/>
    </font>
    <font>
      <b/>
      <sz val="10"/>
      <color theme="1"/>
      <name val="Arial"/>
      <charset val="134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38"/>
      <color theme="1"/>
      <name val="Calibri"/>
      <family val="2"/>
      <scheme val="minor"/>
    </font>
    <font>
      <b/>
      <sz val="3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4" fillId="3" borderId="1" xfId="0" applyFont="1" applyFill="1" applyBorder="1"/>
    <xf numFmtId="0" fontId="0" fillId="0" borderId="1" xfId="0" applyBorder="1"/>
    <xf numFmtId="0" fontId="3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3" fontId="8" fillId="0" borderId="1" xfId="0" applyNumberFormat="1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vertical="center" wrapText="1"/>
    </xf>
    <xf numFmtId="10" fontId="6" fillId="4" borderId="1" xfId="2" applyNumberFormat="1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9" fillId="5" borderId="1" xfId="0" applyFont="1" applyFill="1" applyBorder="1" applyAlignment="1">
      <alignment horizontal="center" wrapText="1"/>
    </xf>
    <xf numFmtId="10" fontId="6" fillId="5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164" fontId="6" fillId="4" borderId="1" xfId="2" applyNumberFormat="1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left" wrapText="1"/>
    </xf>
    <xf numFmtId="0" fontId="4" fillId="5" borderId="0" xfId="0" applyFont="1" applyFill="1"/>
    <xf numFmtId="0" fontId="0" fillId="5" borderId="0" xfId="0" applyFill="1"/>
    <xf numFmtId="0" fontId="6" fillId="5" borderId="0" xfId="0" applyFont="1" applyFill="1" applyAlignment="1">
      <alignment horizontal="center"/>
    </xf>
    <xf numFmtId="0" fontId="10" fillId="3" borderId="1" xfId="0" applyFont="1" applyFill="1" applyBorder="1"/>
    <xf numFmtId="0" fontId="2" fillId="0" borderId="1" xfId="0" applyFont="1" applyBorder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2" fontId="3" fillId="5" borderId="1" xfId="0" applyNumberFormat="1" applyFont="1" applyFill="1" applyBorder="1"/>
    <xf numFmtId="2" fontId="3" fillId="5" borderId="6" xfId="0" applyNumberFormat="1" applyFont="1" applyFill="1" applyBorder="1"/>
    <xf numFmtId="0" fontId="0" fillId="0" borderId="4" xfId="0" applyBorder="1"/>
    <xf numFmtId="4" fontId="11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/>
    <xf numFmtId="0" fontId="4" fillId="3" borderId="8" xfId="0" applyFont="1" applyFill="1" applyBorder="1"/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3" fillId="0" borderId="11" xfId="0" applyFont="1" applyBorder="1"/>
    <xf numFmtId="0" fontId="12" fillId="0" borderId="15" xfId="0" applyFont="1" applyBorder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" fontId="3" fillId="4" borderId="18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/>
    <xf numFmtId="1" fontId="13" fillId="5" borderId="3" xfId="0" applyNumberFormat="1" applyFont="1" applyFill="1" applyBorder="1"/>
    <xf numFmtId="1" fontId="13" fillId="5" borderId="16" xfId="0" applyNumberFormat="1" applyFont="1" applyFill="1" applyBorder="1"/>
    <xf numFmtId="0" fontId="4" fillId="5" borderId="1" xfId="0" applyFont="1" applyFill="1" applyBorder="1"/>
    <xf numFmtId="0" fontId="3" fillId="5" borderId="1" xfId="0" applyFont="1" applyFill="1" applyBorder="1"/>
    <xf numFmtId="0" fontId="3" fillId="5" borderId="8" xfId="0" applyFont="1" applyFill="1" applyBorder="1"/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3" fillId="5" borderId="1" xfId="0" applyFont="1" applyFill="1" applyBorder="1"/>
    <xf numFmtId="0" fontId="4" fillId="5" borderId="0" xfId="0" applyFont="1" applyFill="1" applyAlignment="1">
      <alignment horizontal="center" vertical="center" wrapText="1"/>
    </xf>
    <xf numFmtId="2" fontId="3" fillId="5" borderId="0" xfId="0" applyNumberFormat="1" applyFont="1" applyFill="1"/>
    <xf numFmtId="9" fontId="3" fillId="4" borderId="1" xfId="2" applyFont="1" applyFill="1" applyBorder="1" applyAlignment="1">
      <alignment horizontal="center"/>
    </xf>
    <xf numFmtId="2" fontId="3" fillId="5" borderId="0" xfId="0" applyNumberFormat="1" applyFont="1" applyFill="1" applyAlignment="1">
      <alignment horizontal="center"/>
    </xf>
    <xf numFmtId="0" fontId="15" fillId="3" borderId="23" xfId="0" applyFont="1" applyFill="1" applyBorder="1" applyAlignment="1">
      <alignment vertical="center" wrapText="1"/>
    </xf>
    <xf numFmtId="0" fontId="16" fillId="0" borderId="24" xfId="0" applyFont="1" applyBorder="1" applyAlignment="1">
      <alignment vertical="center"/>
    </xf>
    <xf numFmtId="0" fontId="17" fillId="0" borderId="24" xfId="0" applyFont="1" applyBorder="1" applyAlignment="1">
      <alignment horizontal="right" vertical="center"/>
    </xf>
    <xf numFmtId="0" fontId="18" fillId="0" borderId="26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28" xfId="0" applyFont="1" applyBorder="1" applyAlignment="1">
      <alignment vertical="center"/>
    </xf>
    <xf numFmtId="4" fontId="8" fillId="6" borderId="2" xfId="0" applyNumberFormat="1" applyFont="1" applyFill="1" applyBorder="1" applyAlignment="1">
      <alignment horizontal="center" vertical="center" wrapText="1"/>
    </xf>
    <xf numFmtId="0" fontId="19" fillId="0" borderId="1" xfId="0" applyFont="1" applyBorder="1"/>
    <xf numFmtId="0" fontId="20" fillId="4" borderId="1" xfId="0" applyFont="1" applyFill="1" applyBorder="1" applyAlignment="1">
      <alignment horizontal="left" vertical="top"/>
    </xf>
    <xf numFmtId="0" fontId="20" fillId="0" borderId="1" xfId="0" applyFont="1" applyBorder="1" applyAlignment="1">
      <alignment horizontal="center"/>
    </xf>
    <xf numFmtId="0" fontId="19" fillId="0" borderId="0" xfId="0" applyFont="1"/>
    <xf numFmtId="0" fontId="20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/>
    </xf>
    <xf numFmtId="0" fontId="22" fillId="0" borderId="1" xfId="0" applyFont="1" applyBorder="1"/>
    <xf numFmtId="3" fontId="23" fillId="0" borderId="0" xfId="0" applyNumberFormat="1" applyFont="1" applyAlignment="1">
      <alignment horizontal="left" vertical="center" wrapText="1"/>
    </xf>
    <xf numFmtId="3" fontId="24" fillId="0" borderId="0" xfId="0" applyNumberFormat="1" applyFont="1" applyAlignment="1">
      <alignment horizontal="left" vertical="center" wrapText="1"/>
    </xf>
    <xf numFmtId="3" fontId="25" fillId="0" borderId="0" xfId="0" applyNumberFormat="1" applyFont="1" applyAlignment="1">
      <alignment horizontal="right" vertical="center" wrapText="1"/>
    </xf>
    <xf numFmtId="0" fontId="26" fillId="6" borderId="1" xfId="0" applyFont="1" applyFill="1" applyBorder="1" applyAlignment="1">
      <alignment horizontal="center"/>
    </xf>
    <xf numFmtId="0" fontId="27" fillId="7" borderId="1" xfId="0" applyFont="1" applyFill="1" applyBorder="1"/>
    <xf numFmtId="0" fontId="20" fillId="0" borderId="1" xfId="0" applyFont="1" applyBorder="1"/>
    <xf numFmtId="10" fontId="20" fillId="0" borderId="1" xfId="2" applyNumberFormat="1" applyFont="1" applyBorder="1"/>
    <xf numFmtId="0" fontId="20" fillId="7" borderId="1" xfId="0" applyFont="1" applyFill="1" applyBorder="1"/>
    <xf numFmtId="1" fontId="20" fillId="0" borderId="1" xfId="0" applyNumberFormat="1" applyFont="1" applyBorder="1"/>
    <xf numFmtId="0" fontId="19" fillId="7" borderId="1" xfId="0" applyFont="1" applyFill="1" applyBorder="1"/>
    <xf numFmtId="2" fontId="20" fillId="0" borderId="1" xfId="0" applyNumberFormat="1" applyFont="1" applyBorder="1"/>
    <xf numFmtId="4" fontId="20" fillId="0" borderId="1" xfId="0" applyNumberFormat="1" applyFont="1" applyBorder="1"/>
    <xf numFmtId="9" fontId="20" fillId="0" borderId="1" xfId="0" applyNumberFormat="1" applyFont="1" applyBorder="1"/>
    <xf numFmtId="0" fontId="21" fillId="0" borderId="1" xfId="0" applyFont="1" applyBorder="1"/>
    <xf numFmtId="2" fontId="21" fillId="0" borderId="1" xfId="0" applyNumberFormat="1" applyFont="1" applyBorder="1"/>
    <xf numFmtId="0" fontId="26" fillId="4" borderId="1" xfId="0" applyFont="1" applyFill="1" applyBorder="1" applyAlignment="1">
      <alignment horizontal="left" vertical="top"/>
    </xf>
    <xf numFmtId="0" fontId="26" fillId="8" borderId="1" xfId="0" applyFont="1" applyFill="1" applyBorder="1" applyAlignment="1">
      <alignment horizontal="left" vertical="top" wrapText="1"/>
    </xf>
    <xf numFmtId="0" fontId="28" fillId="0" borderId="1" xfId="0" applyFont="1" applyBorder="1"/>
    <xf numFmtId="0" fontId="26" fillId="0" borderId="1" xfId="0" applyFont="1" applyBorder="1" applyAlignment="1">
      <alignment horizontal="left" vertical="top"/>
    </xf>
    <xf numFmtId="10" fontId="26" fillId="8" borderId="1" xfId="2" applyNumberFormat="1" applyFont="1" applyFill="1" applyBorder="1" applyAlignment="1">
      <alignment horizontal="left" vertical="top"/>
    </xf>
    <xf numFmtId="0" fontId="27" fillId="0" borderId="1" xfId="0" applyFont="1" applyBorder="1" applyAlignment="1">
      <alignment vertical="top"/>
    </xf>
    <xf numFmtId="0" fontId="29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7" fillId="0" borderId="1" xfId="0" applyFont="1" applyBorder="1"/>
    <xf numFmtId="1" fontId="31" fillId="0" borderId="1" xfId="1" applyNumberFormat="1" applyFont="1" applyBorder="1" applyAlignment="1">
      <alignment horizontal="center" vertical="center"/>
    </xf>
    <xf numFmtId="0" fontId="6" fillId="2" borderId="1" xfId="0" applyFont="1" applyFill="1" applyBorder="1" applyAlignment="1"/>
    <xf numFmtId="0" fontId="22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5" fillId="0" borderId="25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33" fillId="0" borderId="1" xfId="0" applyFont="1" applyBorder="1"/>
    <xf numFmtId="10" fontId="1" fillId="0" borderId="0" xfId="0" applyNumberFormat="1" applyFont="1" applyAlignment="1">
      <alignment vertical="center" wrapText="1"/>
    </xf>
    <xf numFmtId="0" fontId="34" fillId="9" borderId="23" xfId="0" applyFont="1" applyFill="1" applyBorder="1" applyAlignment="1">
      <alignment horizontal="center"/>
    </xf>
    <xf numFmtId="0" fontId="35" fillId="9" borderId="23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760000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Revenue &amp; Net Profit Trend </a:t>
            </a:r>
            <a:r>
              <a:rPr lang="en-US" sz="2000" b="1" i="0" u="none" strike="noStrike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(2020–2023)</a:t>
            </a:r>
            <a:endParaRPr lang="en-US" sz="2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Calculations'!$N$7</c:f>
              <c:strCache>
                <c:ptCount val="1"/>
                <c:pt idx="0">
                  <c:v>Revenue </c:v>
                </c:pt>
              </c:strCache>
            </c:strRef>
          </c:tx>
          <c:spPr>
            <a:solidFill>
              <a:srgbClr val="76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'Ratio Calculations'!$O$6:$R$6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Calculations'!$O$7:$R$7</c:f>
              <c:numCache>
                <c:formatCode>General</c:formatCode>
                <c:ptCount val="4"/>
                <c:pt idx="0">
                  <c:v>33014</c:v>
                </c:pt>
                <c:pt idx="1">
                  <c:v>38655</c:v>
                </c:pt>
                <c:pt idx="2">
                  <c:v>43004</c:v>
                </c:pt>
                <c:pt idx="3">
                  <c:v>45754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0-402E-9B74-6AAB35166593}"/>
            </c:ext>
          </c:extLst>
        </c:ser>
        <c:ser>
          <c:idx val="1"/>
          <c:order val="1"/>
          <c:tx>
            <c:v>Net Profit</c:v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'Ratio Calculations'!$O$6:$R$6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Calculations'!$O$10:$R$10</c:f>
              <c:numCache>
                <c:formatCode>General</c:formatCode>
                <c:ptCount val="4"/>
                <c:pt idx="0">
                  <c:v>9804</c:v>
                </c:pt>
                <c:pt idx="1">
                  <c:v>7768</c:v>
                </c:pt>
                <c:pt idx="2">
                  <c:v>9571</c:v>
                </c:pt>
                <c:pt idx="3">
                  <c:v>10703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50-402E-9B74-6AAB351665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27323600"/>
        <c:axId val="1127328176"/>
      </c:barChart>
      <c:catAx>
        <c:axId val="112732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328176"/>
        <c:crosses val="autoZero"/>
        <c:auto val="1"/>
        <c:lblAlgn val="ctr"/>
        <c:lblOffset val="100"/>
        <c:noMultiLvlLbl val="0"/>
      </c:catAx>
      <c:valAx>
        <c:axId val="1127328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2732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>
          <a:lumMod val="65000"/>
          <a:lumOff val="3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Profitability Ratios (2020–2023)</a:t>
            </a:r>
            <a:endParaRPr lang="en-US" sz="2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ROCE </c:v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'Ratio Calculations'!$O$32:$R$32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Calculations'!$O$34:$R$34</c:f>
              <c:numCache>
                <c:formatCode>0.00%</c:formatCode>
                <c:ptCount val="4"/>
                <c:pt idx="0">
                  <c:v>0.12376707523420412</c:v>
                </c:pt>
                <c:pt idx="1">
                  <c:v>0.13854093865921188</c:v>
                </c:pt>
                <c:pt idx="2">
                  <c:v>0.14935856186420954</c:v>
                </c:pt>
                <c:pt idx="3">
                  <c:v>0.15257918307883236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9-4269-9019-126FC221CABF}"/>
            </c:ext>
          </c:extLst>
        </c:ser>
        <c:ser>
          <c:idx val="2"/>
          <c:order val="1"/>
          <c:tx>
            <c:v>Operating Profit Margin</c:v>
          </c:tx>
          <c:spPr>
            <a:ln w="34925" cap="rnd">
              <a:solidFill>
                <a:srgbClr val="76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'Ratio Calculations'!$O$32:$R$32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Calculations'!$O$35:$R$35</c:f>
              <c:numCache>
                <c:formatCode>0.00%</c:formatCode>
                <c:ptCount val="4"/>
                <c:pt idx="0">
                  <c:v>0.27252074877324772</c:v>
                </c:pt>
                <c:pt idx="1">
                  <c:v>0.26666666666666666</c:v>
                </c:pt>
                <c:pt idx="2">
                  <c:v>0.25367407683006232</c:v>
                </c:pt>
                <c:pt idx="3">
                  <c:v>0.24721335839489444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9-4269-9019-126FC221CABF}"/>
            </c:ext>
          </c:extLst>
        </c:ser>
        <c:ser>
          <c:idx val="3"/>
          <c:order val="2"/>
          <c:tx>
            <c:v>Return on Assets</c:v>
          </c:tx>
          <c:spPr>
            <a:ln w="34925" cap="rnd">
              <a:solidFill>
                <a:srgbClr val="FF6D6D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3093772434699149E-2"/>
                  <c:y val="4.5334339410993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59-4269-9019-126FC221CABF}"/>
                </c:ext>
              </c:extLst>
            </c:dLbl>
            <c:dLbl>
              <c:idx val="1"/>
              <c:layout>
                <c:manualLayout>
                  <c:x val="-4.186631312585095E-2"/>
                  <c:y val="4.80081367653662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59-4269-9019-126FC221CABF}"/>
                </c:ext>
              </c:extLst>
            </c:dLbl>
            <c:dLbl>
              <c:idx val="2"/>
              <c:layout>
                <c:manualLayout>
                  <c:x val="-2.9086914412580673E-2"/>
                  <c:y val="4.26605420566217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B59-4269-9019-126FC221CABF}"/>
                </c:ext>
              </c:extLst>
            </c:dLbl>
            <c:dLbl>
              <c:idx val="3"/>
              <c:layout>
                <c:manualLayout>
                  <c:x val="-4.9664221288682198E-2"/>
                  <c:y val="4.53343394109940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B59-4269-9019-126FC221CA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'Ratio Calculations'!$O$32:$R$32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Calculations'!$O$36:$R$36</c:f>
              <c:numCache>
                <c:formatCode>0.00%</c:formatCode>
                <c:ptCount val="4"/>
                <c:pt idx="0">
                  <c:v>0.11231012440717575</c:v>
                </c:pt>
                <c:pt idx="1">
                  <c:v>8.2328253174216243E-2</c:v>
                </c:pt>
                <c:pt idx="2">
                  <c:v>0.10317691320893028</c:v>
                </c:pt>
                <c:pt idx="3">
                  <c:v>0.10954627800579307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59-4269-9019-126FC221CA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4325136"/>
        <c:axId val="864325552"/>
      </c:lineChart>
      <c:catAx>
        <c:axId val="86432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325552"/>
        <c:crosses val="autoZero"/>
        <c:auto val="1"/>
        <c:lblAlgn val="ctr"/>
        <c:lblOffset val="100"/>
        <c:noMultiLvlLbl val="0"/>
      </c:catAx>
      <c:valAx>
        <c:axId val="86432555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86432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>
          <a:lumMod val="65000"/>
          <a:lumOff val="3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Efficiency Ratios (2020–2023)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Inventory Turnover Days </c:v>
          </c:tx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'Ratio Calculations'!$O$32:$R$32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Calculations'!$O$38:$R$38</c:f>
              <c:numCache>
                <c:formatCode>0</c:formatCode>
                <c:ptCount val="4"/>
                <c:pt idx="0">
                  <c:v>88.743393136306111</c:v>
                </c:pt>
                <c:pt idx="1">
                  <c:v>81.142801328384451</c:v>
                </c:pt>
                <c:pt idx="2">
                  <c:v>85.835833333333326</c:v>
                </c:pt>
                <c:pt idx="3">
                  <c:v>87.190064794816408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D-460C-B88C-CA9B7A7A22B0}"/>
            </c:ext>
          </c:extLst>
        </c:ser>
        <c:ser>
          <c:idx val="2"/>
          <c:order val="1"/>
          <c:tx>
            <c:v>Receivable Turnover Days</c:v>
          </c:tx>
          <c:spPr>
            <a:ln w="34925" cap="rnd">
              <a:solidFill>
                <a:srgbClr val="76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'Ratio Calculations'!$O$32:$R$32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Calculations'!$O$39:$R$39</c:f>
              <c:numCache>
                <c:formatCode>0</c:formatCode>
                <c:ptCount val="4"/>
                <c:pt idx="0">
                  <c:v>34.759798873205305</c:v>
                </c:pt>
                <c:pt idx="1">
                  <c:v>33.252929763290645</c:v>
                </c:pt>
                <c:pt idx="2">
                  <c:v>29.758371314296344</c:v>
                </c:pt>
                <c:pt idx="3">
                  <c:v>27.426673077763692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D-460C-B88C-CA9B7A7A22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18008368"/>
        <c:axId val="1118006288"/>
      </c:lineChart>
      <c:catAx>
        <c:axId val="111800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006288"/>
        <c:crosses val="autoZero"/>
        <c:auto val="1"/>
        <c:lblAlgn val="ctr"/>
        <c:lblOffset val="100"/>
        <c:noMultiLvlLbl val="0"/>
      </c:catAx>
      <c:valAx>
        <c:axId val="111800628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11800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>
          <a:lumMod val="65000"/>
          <a:lumOff val="3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>
                <a:latin typeface="Times New Roman" panose="02020603050405020304" pitchFamily="18" charset="0"/>
                <a:cs typeface="Times New Roman" panose="02020603050405020304" pitchFamily="18" charset="0"/>
              </a:rPr>
              <a:t>Liquidity Ratios (2020–2023)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7171296296296298"/>
          <c:w val="0.87753018372703417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v>Current ratio </c:v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'Ratio Calculations'!$O$32:$R$32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Calculations'!$O$41:$R$41</c:f>
              <c:numCache>
                <c:formatCode>0.00</c:formatCode>
                <c:ptCount val="4"/>
                <c:pt idx="0">
                  <c:v>1.317717964522978</c:v>
                </c:pt>
                <c:pt idx="1">
                  <c:v>1.1300751879699249</c:v>
                </c:pt>
                <c:pt idx="2">
                  <c:v>1.1453559115798013</c:v>
                </c:pt>
                <c:pt idx="3">
                  <c:v>1.1341054685842773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7-4BFD-AF83-49423E495459}"/>
            </c:ext>
          </c:extLst>
        </c:ser>
        <c:ser>
          <c:idx val="2"/>
          <c:order val="1"/>
          <c:tx>
            <c:v>Quick ratio</c:v>
          </c:tx>
          <c:spPr>
            <a:ln w="34925" cap="rnd">
              <a:solidFill>
                <a:srgbClr val="760000">
                  <a:alpha val="99000"/>
                </a:srgb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'Ratio Calculations'!$O$32:$R$32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Calculations'!$O$42:$R$42</c:f>
              <c:numCache>
                <c:formatCode>#,##0.00</c:formatCode>
                <c:ptCount val="4"/>
                <c:pt idx="0">
                  <c:v>1.0940346551606055</c:v>
                </c:pt>
                <c:pt idx="1">
                  <c:v>0.95894736842105266</c:v>
                </c:pt>
                <c:pt idx="2">
                  <c:v>0.93074427093895762</c:v>
                </c:pt>
                <c:pt idx="3">
                  <c:v>0.94641720758559245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57-4BFD-AF83-49423E4954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0029536"/>
        <c:axId val="860027456"/>
      </c:lineChart>
      <c:catAx>
        <c:axId val="860029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027456"/>
        <c:crosses val="autoZero"/>
        <c:auto val="1"/>
        <c:lblAlgn val="ctr"/>
        <c:lblOffset val="100"/>
        <c:noMultiLvlLbl val="0"/>
      </c:catAx>
      <c:valAx>
        <c:axId val="860027456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86002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>
          <a:lumMod val="65000"/>
          <a:lumOff val="35000"/>
        </a:schemeClr>
      </a:solidFill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Capital Structure Analysis (2020–2023)</a:t>
            </a:r>
            <a:endParaRPr lang="en-US" sz="2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Interest Cover </c:v>
          </c:tx>
          <c:spPr>
            <a:solidFill>
              <a:srgbClr val="76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'Ratio Calculations'!$O$32:$R$32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Calculations'!$O$44:$R$44</c:f>
              <c:numCache>
                <c:formatCode>0.00</c:formatCode>
                <c:ptCount val="4"/>
                <c:pt idx="0">
                  <c:v>6.2609603340292272</c:v>
                </c:pt>
                <c:pt idx="1">
                  <c:v>6.4546023794614902</c:v>
                </c:pt>
                <c:pt idx="2">
                  <c:v>12.368480725623582</c:v>
                </c:pt>
                <c:pt idx="3">
                  <c:v>7.4073346430910281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6-410E-B5CC-09981868325C}"/>
            </c:ext>
          </c:extLst>
        </c:ser>
        <c:ser>
          <c:idx val="2"/>
          <c:order val="1"/>
          <c:tx>
            <c:v>Gearing Ratio</c:v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'Ratio Calculations'!$O$32:$R$32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Calculations'!$O$45:$R$45</c:f>
              <c:numCache>
                <c:formatCode>0%</c:formatCode>
                <c:ptCount val="4"/>
                <c:pt idx="0">
                  <c:v>0.70721507669028127</c:v>
                </c:pt>
                <c:pt idx="1">
                  <c:v>0.66587817859254883</c:v>
                </c:pt>
                <c:pt idx="2">
                  <c:v>0.64640808335272937</c:v>
                </c:pt>
                <c:pt idx="3">
                  <c:v>0.6292948778480757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F6-410E-B5CC-0998186832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53070127"/>
        <c:axId val="253070959"/>
      </c:barChart>
      <c:catAx>
        <c:axId val="25307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070959"/>
        <c:crosses val="autoZero"/>
        <c:auto val="1"/>
        <c:lblAlgn val="ctr"/>
        <c:lblOffset val="100"/>
        <c:noMultiLvlLbl val="0"/>
      </c:catAx>
      <c:valAx>
        <c:axId val="2530709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5307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>
          <a:lumMod val="65000"/>
          <a:lumOff val="3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Earnings Per Share (EPS) Trend (2020–2023)</a:t>
            </a:r>
            <a:endParaRPr lang="en-US" sz="2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725395105346724E-2"/>
          <c:y val="0.14261996520470843"/>
          <c:w val="0.93115788288790668"/>
          <c:h val="0.69877246711030339"/>
        </c:manualLayout>
      </c:layout>
      <c:lineChart>
        <c:grouping val="standard"/>
        <c:varyColors val="0"/>
        <c:ser>
          <c:idx val="1"/>
          <c:order val="0"/>
          <c:tx>
            <c:v>Earnings Per Share</c:v>
          </c:tx>
          <c:spPr>
            <a:ln w="34925" cap="rnd">
              <a:solidFill>
                <a:srgbClr val="FF6D6D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'Ratio Calculations'!$O$32:$R$32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'Ratio Calculations'!$O$47:$R$47</c:f>
              <c:numCache>
                <c:formatCode>#,##0.00</c:formatCode>
                <c:ptCount val="4"/>
                <c:pt idx="0">
                  <c:v>1.3926136363636363</c:v>
                </c:pt>
                <c:pt idx="1">
                  <c:v>1.103409090909091</c:v>
                </c:pt>
                <c:pt idx="2">
                  <c:v>1.3595170454545455</c:v>
                </c:pt>
                <c:pt idx="3">
                  <c:v>1.5203125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88-4C24-B097-B6A70E17EC0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07006512"/>
        <c:axId val="807001104"/>
      </c:lineChart>
      <c:catAx>
        <c:axId val="80700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01104"/>
        <c:crosses val="autoZero"/>
        <c:auto val="1"/>
        <c:lblAlgn val="ctr"/>
        <c:lblOffset val="100"/>
        <c:noMultiLvlLbl val="0"/>
      </c:catAx>
      <c:valAx>
        <c:axId val="807001104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80700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>
          <a:lumMod val="65000"/>
          <a:lumOff val="3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221939</xdr:colOff>
      <xdr:row>2</xdr:row>
      <xdr:rowOff>41275</xdr:rowOff>
    </xdr:from>
    <xdr:to>
      <xdr:col>7</xdr:col>
      <xdr:colOff>219075</xdr:colOff>
      <xdr:row>27</xdr:row>
      <xdr:rowOff>37042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BBC444-A9EA-42D6-8CF1-3D0D63238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312208</xdr:colOff>
      <xdr:row>30</xdr:row>
      <xdr:rowOff>28575</xdr:rowOff>
    </xdr:from>
    <xdr:to>
      <xdr:col>20</xdr:col>
      <xdr:colOff>403225</xdr:colOff>
      <xdr:row>55</xdr:row>
      <xdr:rowOff>15874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109D01-32FF-4B7D-96BE-2B1D0B97A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209069</xdr:colOff>
      <xdr:row>30</xdr:row>
      <xdr:rowOff>41275</xdr:rowOff>
    </xdr:from>
    <xdr:to>
      <xdr:col>7</xdr:col>
      <xdr:colOff>200025</xdr:colOff>
      <xdr:row>54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308369-6B13-4193-8D48-F64C13841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219335</xdr:colOff>
      <xdr:row>29</xdr:row>
      <xdr:rowOff>114300</xdr:rowOff>
    </xdr:from>
    <xdr:to>
      <xdr:col>33</xdr:col>
      <xdr:colOff>381972</xdr:colOff>
      <xdr:row>54</xdr:row>
      <xdr:rowOff>139699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10E95B-1506-40AC-BE06-C08C56924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285850</xdr:colOff>
      <xdr:row>2</xdr:row>
      <xdr:rowOff>34925</xdr:rowOff>
    </xdr:from>
    <xdr:to>
      <xdr:col>20</xdr:col>
      <xdr:colOff>387350</xdr:colOff>
      <xdr:row>27</xdr:row>
      <xdr:rowOff>107950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01AF75-BB3A-45F1-847A-CCAA565C5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175202</xdr:colOff>
      <xdr:row>2</xdr:row>
      <xdr:rowOff>21069</xdr:rowOff>
    </xdr:from>
    <xdr:to>
      <xdr:col>33</xdr:col>
      <xdr:colOff>339725</xdr:colOff>
      <xdr:row>27</xdr:row>
      <xdr:rowOff>107949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A93897-F883-40EE-9127-D6AB8BF7B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35"/>
  <sheetViews>
    <sheetView topLeftCell="A10" zoomScale="70" zoomScaleNormal="70" workbookViewId="0">
      <selection activeCell="N19" sqref="N19"/>
    </sheetView>
  </sheetViews>
  <sheetFormatPr defaultColWidth="9" defaultRowHeight="14.5"/>
  <cols>
    <col min="2" max="2" width="33.36328125" bestFit="1" customWidth="1"/>
    <col min="3" max="6" width="26.81640625" customWidth="1"/>
  </cols>
  <sheetData>
    <row r="3" spans="2:6" ht="15" customHeight="1">
      <c r="B3" s="104" t="s">
        <v>0</v>
      </c>
      <c r="C3" s="104"/>
      <c r="D3" s="104"/>
      <c r="E3" s="104"/>
      <c r="F3" s="104"/>
    </row>
    <row r="4" spans="2:6" ht="15" customHeight="1">
      <c r="B4" s="104"/>
      <c r="C4" s="104"/>
      <c r="D4" s="104"/>
      <c r="E4" s="104"/>
      <c r="F4" s="104"/>
    </row>
    <row r="5" spans="2:6" ht="21">
      <c r="B5" s="7"/>
      <c r="C5" s="93">
        <v>2020</v>
      </c>
      <c r="D5" s="93">
        <v>2021</v>
      </c>
      <c r="E5" s="93">
        <v>2022</v>
      </c>
      <c r="F5" s="93">
        <v>2023</v>
      </c>
    </row>
    <row r="6" spans="2:6" ht="31">
      <c r="B6" s="95" t="s">
        <v>1</v>
      </c>
      <c r="C6" s="96">
        <v>33014</v>
      </c>
      <c r="D6" s="96">
        <v>38655</v>
      </c>
      <c r="E6" s="98">
        <v>43004</v>
      </c>
      <c r="F6" s="98">
        <v>45754</v>
      </c>
    </row>
    <row r="7" spans="2:6" ht="31">
      <c r="B7" s="95" t="s">
        <v>2</v>
      </c>
      <c r="C7" s="96">
        <v>8997</v>
      </c>
      <c r="D7" s="96">
        <v>10308</v>
      </c>
      <c r="E7" s="98">
        <v>10909</v>
      </c>
      <c r="F7" s="98">
        <v>11311</v>
      </c>
    </row>
    <row r="8" spans="2:6" ht="31">
      <c r="B8" s="95" t="s">
        <v>3</v>
      </c>
      <c r="C8" s="96">
        <v>1437</v>
      </c>
      <c r="D8" s="96">
        <v>1597</v>
      </c>
      <c r="E8" s="98">
        <v>882</v>
      </c>
      <c r="F8" s="98">
        <v>1527</v>
      </c>
    </row>
    <row r="9" spans="2:6" ht="31">
      <c r="B9" s="95" t="s">
        <v>4</v>
      </c>
      <c r="C9" s="100">
        <v>9804</v>
      </c>
      <c r="D9" s="100">
        <v>7768</v>
      </c>
      <c r="E9" s="101">
        <v>9571</v>
      </c>
      <c r="F9" s="101">
        <v>10703</v>
      </c>
    </row>
    <row r="10" spans="2:6" ht="31">
      <c r="B10" s="95" t="s">
        <v>5</v>
      </c>
      <c r="C10" s="100">
        <v>13433</v>
      </c>
      <c r="D10" s="100">
        <v>15357</v>
      </c>
      <c r="E10" s="101">
        <v>18000</v>
      </c>
      <c r="F10" s="101">
        <v>18520</v>
      </c>
    </row>
    <row r="14" spans="2:6">
      <c r="B14" s="104" t="s">
        <v>6</v>
      </c>
      <c r="C14" s="104"/>
      <c r="D14" s="104"/>
      <c r="E14" s="104"/>
      <c r="F14" s="104"/>
    </row>
    <row r="15" spans="2:6">
      <c r="B15" s="104"/>
      <c r="C15" s="104"/>
      <c r="D15" s="104"/>
      <c r="E15" s="104"/>
      <c r="F15" s="104"/>
    </row>
    <row r="16" spans="2:6" ht="21">
      <c r="B16" s="7"/>
      <c r="C16" s="93">
        <v>2020</v>
      </c>
      <c r="D16" s="93">
        <v>2021</v>
      </c>
      <c r="E16" s="93">
        <v>2022</v>
      </c>
      <c r="F16" s="93">
        <v>2023</v>
      </c>
    </row>
    <row r="17" spans="2:6" ht="26">
      <c r="B17" s="77" t="s">
        <v>7</v>
      </c>
      <c r="C17" s="96">
        <v>19240</v>
      </c>
      <c r="D17" s="96">
        <v>22545</v>
      </c>
      <c r="E17" s="96">
        <v>22591</v>
      </c>
      <c r="F17" s="96">
        <v>26732</v>
      </c>
    </row>
    <row r="18" spans="2:6" ht="26">
      <c r="B18" s="77" t="s">
        <v>8</v>
      </c>
      <c r="C18" s="96">
        <v>68054</v>
      </c>
      <c r="D18" s="96">
        <v>71809</v>
      </c>
      <c r="E18" s="96">
        <v>70172</v>
      </c>
      <c r="F18" s="96">
        <v>70971</v>
      </c>
    </row>
    <row r="19" spans="2:6" ht="26">
      <c r="B19" s="77" t="s">
        <v>9</v>
      </c>
      <c r="C19" s="96">
        <v>14601</v>
      </c>
      <c r="D19" s="96">
        <v>19950</v>
      </c>
      <c r="E19" s="96">
        <v>19724</v>
      </c>
      <c r="F19" s="96">
        <v>23571</v>
      </c>
    </row>
    <row r="20" spans="2:6" ht="26">
      <c r="B20" s="77" t="s">
        <v>10</v>
      </c>
      <c r="C20" s="96">
        <v>51411</v>
      </c>
      <c r="D20" s="96">
        <v>49544</v>
      </c>
      <c r="E20" s="100">
        <v>47213</v>
      </c>
      <c r="F20" s="100">
        <v>46649</v>
      </c>
    </row>
    <row r="21" spans="2:6" ht="26">
      <c r="B21" s="77" t="s">
        <v>11</v>
      </c>
      <c r="C21" s="96">
        <v>21284</v>
      </c>
      <c r="D21" s="96">
        <v>24860</v>
      </c>
      <c r="E21" s="100">
        <v>25826</v>
      </c>
      <c r="F21" s="100">
        <v>27480</v>
      </c>
    </row>
    <row r="23" spans="2:6" ht="26">
      <c r="B23" s="77" t="s">
        <v>12</v>
      </c>
      <c r="C23" s="99">
        <v>3144</v>
      </c>
      <c r="D23" s="99">
        <v>3512</v>
      </c>
      <c r="E23" s="99">
        <v>3487</v>
      </c>
      <c r="F23" s="99">
        <v>3410</v>
      </c>
    </row>
    <row r="24" spans="2:6" ht="26">
      <c r="B24" s="77" t="s">
        <v>13</v>
      </c>
      <c r="C24" s="99">
        <v>3266</v>
      </c>
      <c r="D24" s="99">
        <v>3414</v>
      </c>
      <c r="E24" s="99">
        <v>4233</v>
      </c>
      <c r="F24" s="99">
        <v>4424</v>
      </c>
    </row>
    <row r="25" spans="2:6" ht="26">
      <c r="B25" s="77" t="s">
        <v>14</v>
      </c>
      <c r="C25" s="99">
        <v>11145</v>
      </c>
      <c r="D25" s="99">
        <v>14619</v>
      </c>
      <c r="E25" s="99">
        <v>15749</v>
      </c>
      <c r="F25" s="99">
        <v>15485</v>
      </c>
    </row>
    <row r="26" spans="2:6" ht="26">
      <c r="B26" s="77" t="s">
        <v>15</v>
      </c>
      <c r="C26" s="99">
        <v>7040</v>
      </c>
      <c r="D26" s="99">
        <v>7040</v>
      </c>
      <c r="E26" s="99">
        <v>7040</v>
      </c>
      <c r="F26" s="99">
        <v>7040</v>
      </c>
    </row>
    <row r="27" spans="2:6" ht="26">
      <c r="B27" s="77" t="s">
        <v>16</v>
      </c>
      <c r="C27" s="99">
        <v>7047</v>
      </c>
      <c r="D27" s="99">
        <v>7252</v>
      </c>
      <c r="E27" s="99">
        <v>7616</v>
      </c>
      <c r="F27" s="99">
        <v>7952</v>
      </c>
    </row>
    <row r="35" ht="26.25" customHeight="1"/>
  </sheetData>
  <mergeCells count="2">
    <mergeCell ref="B3:F4"/>
    <mergeCell ref="B14:F15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I35"/>
  <sheetViews>
    <sheetView zoomScale="64" zoomScaleNormal="64" workbookViewId="0">
      <selection activeCell="B14" sqref="B14:I15"/>
    </sheetView>
  </sheetViews>
  <sheetFormatPr defaultColWidth="9" defaultRowHeight="14.5"/>
  <cols>
    <col min="2" max="2" width="35.26953125" customWidth="1"/>
    <col min="3" max="3" width="13.26953125" customWidth="1"/>
    <col min="4" max="4" width="10.7265625" customWidth="1"/>
    <col min="5" max="5" width="15.81640625" customWidth="1"/>
    <col min="6" max="6" width="11.54296875" customWidth="1"/>
    <col min="7" max="7" width="16.08984375" customWidth="1"/>
    <col min="8" max="8" width="11.54296875" customWidth="1"/>
    <col min="9" max="9" width="17.7265625" customWidth="1"/>
  </cols>
  <sheetData>
    <row r="3" spans="2:9" ht="15" customHeight="1">
      <c r="B3" s="104" t="s">
        <v>17</v>
      </c>
      <c r="C3" s="104"/>
      <c r="D3" s="104"/>
      <c r="E3" s="104"/>
      <c r="F3" s="104"/>
      <c r="G3" s="104"/>
      <c r="H3" s="104"/>
      <c r="I3" s="104"/>
    </row>
    <row r="4" spans="2:9" ht="15" customHeight="1">
      <c r="B4" s="104"/>
      <c r="C4" s="104"/>
      <c r="D4" s="104"/>
      <c r="E4" s="104"/>
      <c r="F4" s="104"/>
      <c r="G4" s="104"/>
      <c r="H4" s="104"/>
      <c r="I4" s="104"/>
    </row>
    <row r="5" spans="2:9" ht="21">
      <c r="B5" s="7"/>
      <c r="C5" s="93">
        <v>2020</v>
      </c>
      <c r="D5" s="93">
        <v>2021</v>
      </c>
      <c r="E5" s="94" t="s">
        <v>18</v>
      </c>
      <c r="F5" s="93">
        <v>2022</v>
      </c>
      <c r="G5" s="94" t="s">
        <v>18</v>
      </c>
      <c r="H5" s="93">
        <v>2023</v>
      </c>
      <c r="I5" s="94" t="s">
        <v>18</v>
      </c>
    </row>
    <row r="6" spans="2:9" ht="31">
      <c r="B6" s="95" t="s">
        <v>1</v>
      </c>
      <c r="C6" s="96">
        <f>'The Raw Data '!C6</f>
        <v>33014</v>
      </c>
      <c r="D6" s="96">
        <f>'The Raw Data '!D6</f>
        <v>38655</v>
      </c>
      <c r="E6" s="97">
        <f>(D6-C6)/C6</f>
        <v>0.17086690494941539</v>
      </c>
      <c r="F6" s="98">
        <f>'The Raw Data '!E6</f>
        <v>43004</v>
      </c>
      <c r="G6" s="97">
        <f>(F6-D6)/D6</f>
        <v>0.11250808433579097</v>
      </c>
      <c r="H6" s="98">
        <f>'The Raw Data '!F6</f>
        <v>45754</v>
      </c>
      <c r="I6" s="97">
        <f>(H6-F6)/F6</f>
        <v>6.3947539763742914E-2</v>
      </c>
    </row>
    <row r="7" spans="2:9" ht="31">
      <c r="B7" s="95" t="s">
        <v>2</v>
      </c>
      <c r="C7" s="96">
        <f>'The Raw Data '!C7</f>
        <v>8997</v>
      </c>
      <c r="D7" s="96">
        <f>'The Raw Data '!D7</f>
        <v>10308</v>
      </c>
      <c r="E7" s="97">
        <f t="shared" ref="E7:E10" si="0">(D7-C7)/C7</f>
        <v>0.14571523841280426</v>
      </c>
      <c r="F7" s="98">
        <f>'The Raw Data '!E7</f>
        <v>10909</v>
      </c>
      <c r="G7" s="97">
        <f t="shared" ref="G7:G10" si="1">(F7-D7)/D7</f>
        <v>5.8304229724485838E-2</v>
      </c>
      <c r="H7" s="98">
        <f>'The Raw Data '!F7</f>
        <v>11311</v>
      </c>
      <c r="I7" s="97">
        <f t="shared" ref="I7:I10" si="2">(H7-F7)/F7</f>
        <v>3.6850307085892382E-2</v>
      </c>
    </row>
    <row r="8" spans="2:9" ht="31">
      <c r="B8" s="95" t="s">
        <v>3</v>
      </c>
      <c r="C8" s="96">
        <f>'The Raw Data '!C8</f>
        <v>1437</v>
      </c>
      <c r="D8" s="96">
        <f>'The Raw Data '!D8</f>
        <v>1597</v>
      </c>
      <c r="E8" s="97">
        <f t="shared" si="0"/>
        <v>0.11134307585247043</v>
      </c>
      <c r="F8" s="98">
        <f>'The Raw Data '!E8</f>
        <v>882</v>
      </c>
      <c r="G8" s="97">
        <f t="shared" si="1"/>
        <v>-0.44771446462116471</v>
      </c>
      <c r="H8" s="98">
        <f>'The Raw Data '!F8</f>
        <v>1527</v>
      </c>
      <c r="I8" s="97">
        <f t="shared" si="2"/>
        <v>0.73129251700680276</v>
      </c>
    </row>
    <row r="9" spans="2:9" ht="31">
      <c r="B9" s="95" t="s">
        <v>4</v>
      </c>
      <c r="C9" s="96">
        <f>'The Raw Data '!C9</f>
        <v>9804</v>
      </c>
      <c r="D9" s="96">
        <f>'The Raw Data '!D9</f>
        <v>7768</v>
      </c>
      <c r="E9" s="97">
        <f t="shared" si="0"/>
        <v>-0.2076703386372909</v>
      </c>
      <c r="F9" s="98">
        <f>'The Raw Data '!E9</f>
        <v>9571</v>
      </c>
      <c r="G9" s="97">
        <f t="shared" si="1"/>
        <v>0.23210607621009269</v>
      </c>
      <c r="H9" s="98">
        <f>'The Raw Data '!F9</f>
        <v>10703</v>
      </c>
      <c r="I9" s="97">
        <f t="shared" si="2"/>
        <v>0.11827395256504022</v>
      </c>
    </row>
    <row r="10" spans="2:9" ht="31">
      <c r="B10" s="95" t="s">
        <v>5</v>
      </c>
      <c r="C10" s="96">
        <f>'The Raw Data '!C10</f>
        <v>13433</v>
      </c>
      <c r="D10" s="96">
        <f>'The Raw Data '!D10</f>
        <v>15357</v>
      </c>
      <c r="E10" s="97">
        <f t="shared" si="0"/>
        <v>0.14322936053003796</v>
      </c>
      <c r="F10" s="98">
        <f>'The Raw Data '!E10</f>
        <v>18000</v>
      </c>
      <c r="G10" s="97">
        <f t="shared" si="1"/>
        <v>0.17210392654815393</v>
      </c>
      <c r="H10" s="98">
        <f>'The Raw Data '!F10</f>
        <v>18520</v>
      </c>
      <c r="I10" s="97">
        <f t="shared" si="2"/>
        <v>2.8888888888888888E-2</v>
      </c>
    </row>
    <row r="14" spans="2:9">
      <c r="B14" s="104" t="s">
        <v>19</v>
      </c>
      <c r="C14" s="104"/>
      <c r="D14" s="104"/>
      <c r="E14" s="104"/>
      <c r="F14" s="104"/>
      <c r="G14" s="104"/>
      <c r="H14" s="104"/>
      <c r="I14" s="104"/>
    </row>
    <row r="15" spans="2:9">
      <c r="B15" s="104"/>
      <c r="C15" s="104"/>
      <c r="D15" s="104"/>
      <c r="E15" s="104"/>
      <c r="F15" s="104"/>
      <c r="G15" s="104"/>
      <c r="H15" s="104"/>
      <c r="I15" s="104"/>
    </row>
    <row r="16" spans="2:9" ht="21">
      <c r="B16" s="7"/>
      <c r="C16" s="93">
        <v>2020</v>
      </c>
      <c r="D16" s="93">
        <v>2021</v>
      </c>
      <c r="E16" s="94" t="s">
        <v>18</v>
      </c>
      <c r="F16" s="93">
        <v>2022</v>
      </c>
      <c r="G16" s="94" t="s">
        <v>18</v>
      </c>
      <c r="H16" s="93">
        <v>2023</v>
      </c>
      <c r="I16" s="94" t="s">
        <v>18</v>
      </c>
    </row>
    <row r="17" spans="2:9" ht="26">
      <c r="B17" s="77" t="s">
        <v>7</v>
      </c>
      <c r="C17" s="96">
        <f>'The Raw Data '!C17</f>
        <v>19240</v>
      </c>
      <c r="D17" s="96">
        <f>'The Raw Data '!D17</f>
        <v>22545</v>
      </c>
      <c r="E17" s="97">
        <f>(D17-C17)/C17</f>
        <v>0.17177754677754678</v>
      </c>
      <c r="F17" s="96">
        <f>'The Raw Data '!E17</f>
        <v>22591</v>
      </c>
      <c r="G17" s="97">
        <f>(F17-D17)/D17</f>
        <v>2.0403637170104236E-3</v>
      </c>
      <c r="H17" s="96">
        <f>'The Raw Data '!F17</f>
        <v>26732</v>
      </c>
      <c r="I17" s="97">
        <f>(H17-F17)/F17</f>
        <v>0.18330308529945555</v>
      </c>
    </row>
    <row r="18" spans="2:9" ht="26">
      <c r="B18" s="77" t="s">
        <v>8</v>
      </c>
      <c r="C18" s="96">
        <f>'The Raw Data '!C18</f>
        <v>68054</v>
      </c>
      <c r="D18" s="96">
        <f>'The Raw Data '!D18</f>
        <v>71809</v>
      </c>
      <c r="E18" s="97">
        <f t="shared" ref="E18:E21" si="3">(D18-C18)/C18</f>
        <v>5.5176771387427631E-2</v>
      </c>
      <c r="F18" s="96">
        <f>'The Raw Data '!E18</f>
        <v>70172</v>
      </c>
      <c r="G18" s="97">
        <f t="shared" ref="G18:G21" si="4">(F18-D18)/D18</f>
        <v>-2.2796585386232922E-2</v>
      </c>
      <c r="H18" s="96">
        <f>'The Raw Data '!F18</f>
        <v>70971</v>
      </c>
      <c r="I18" s="97">
        <f t="shared" ref="I18:I21" si="5">(H18-F18)/F18</f>
        <v>1.1386307929088525E-2</v>
      </c>
    </row>
    <row r="19" spans="2:9" ht="26">
      <c r="B19" s="77" t="s">
        <v>9</v>
      </c>
      <c r="C19" s="96">
        <f>'The Raw Data '!C19</f>
        <v>14601</v>
      </c>
      <c r="D19" s="96">
        <f>'The Raw Data '!D19</f>
        <v>19950</v>
      </c>
      <c r="E19" s="97">
        <f t="shared" si="3"/>
        <v>0.36634477090610235</v>
      </c>
      <c r="F19" s="96">
        <f>'The Raw Data '!E19</f>
        <v>19724</v>
      </c>
      <c r="G19" s="97">
        <f t="shared" si="4"/>
        <v>-1.1328320802005012E-2</v>
      </c>
      <c r="H19" s="96">
        <f>'The Raw Data '!F19</f>
        <v>23571</v>
      </c>
      <c r="I19" s="97">
        <f t="shared" si="5"/>
        <v>0.19504157371729872</v>
      </c>
    </row>
    <row r="20" spans="2:9" ht="26">
      <c r="B20" s="77" t="s">
        <v>10</v>
      </c>
      <c r="C20" s="96">
        <f>'The Raw Data '!C20</f>
        <v>51411</v>
      </c>
      <c r="D20" s="96">
        <f>'The Raw Data '!D20</f>
        <v>49544</v>
      </c>
      <c r="E20" s="97">
        <f t="shared" si="3"/>
        <v>-3.6315185466145379E-2</v>
      </c>
      <c r="F20" s="96">
        <f>'The Raw Data '!E20</f>
        <v>47213</v>
      </c>
      <c r="G20" s="97">
        <f t="shared" si="4"/>
        <v>-4.70490876796383E-2</v>
      </c>
      <c r="H20" s="96">
        <f>'The Raw Data '!F20</f>
        <v>46649</v>
      </c>
      <c r="I20" s="97">
        <f t="shared" si="5"/>
        <v>-1.1945862368415478E-2</v>
      </c>
    </row>
    <row r="21" spans="2:9" ht="26">
      <c r="B21" s="77" t="s">
        <v>11</v>
      </c>
      <c r="C21" s="96">
        <f>'The Raw Data '!C21</f>
        <v>21284</v>
      </c>
      <c r="D21" s="96">
        <f>'The Raw Data '!D21</f>
        <v>24860</v>
      </c>
      <c r="E21" s="97">
        <f t="shared" si="3"/>
        <v>0.16801353129111068</v>
      </c>
      <c r="F21" s="96">
        <f>'The Raw Data '!E21</f>
        <v>25826</v>
      </c>
      <c r="G21" s="97">
        <f t="shared" si="4"/>
        <v>3.8857602574416734E-2</v>
      </c>
      <c r="H21" s="96">
        <f>'The Raw Data '!F21</f>
        <v>27480</v>
      </c>
      <c r="I21" s="97">
        <f t="shared" si="5"/>
        <v>6.4043986680089829E-2</v>
      </c>
    </row>
    <row r="23" spans="2:9" ht="26">
      <c r="B23" s="77"/>
      <c r="C23" s="99"/>
      <c r="D23" s="99"/>
      <c r="E23" s="99"/>
      <c r="F23" s="99"/>
      <c r="G23" s="99"/>
      <c r="H23" s="99"/>
      <c r="I23" s="7"/>
    </row>
    <row r="24" spans="2:9" ht="26">
      <c r="B24" s="77"/>
      <c r="C24" s="99"/>
      <c r="D24" s="99"/>
      <c r="E24" s="99"/>
      <c r="F24" s="99"/>
      <c r="G24" s="99"/>
      <c r="H24" s="99"/>
      <c r="I24" s="7"/>
    </row>
    <row r="25" spans="2:9" ht="26">
      <c r="B25" s="77"/>
      <c r="C25" s="99"/>
      <c r="D25" s="99"/>
      <c r="E25" s="99"/>
      <c r="F25" s="99"/>
      <c r="G25" s="99"/>
      <c r="H25" s="99"/>
      <c r="I25" s="7"/>
    </row>
    <row r="26" spans="2:9" ht="26">
      <c r="B26" s="77"/>
      <c r="C26" s="99"/>
      <c r="D26" s="99"/>
      <c r="E26" s="99"/>
      <c r="F26" s="99"/>
      <c r="G26" s="99"/>
      <c r="H26" s="99"/>
      <c r="I26" s="7"/>
    </row>
    <row r="27" spans="2:9" ht="26">
      <c r="B27" s="77"/>
      <c r="C27" s="99"/>
      <c r="D27" s="99"/>
      <c r="E27" s="99"/>
      <c r="F27" s="99"/>
      <c r="G27" s="99"/>
      <c r="H27" s="99"/>
      <c r="I27" s="7"/>
    </row>
    <row r="35" ht="26.25" customHeight="1"/>
  </sheetData>
  <mergeCells count="2">
    <mergeCell ref="B3:I4"/>
    <mergeCell ref="B14:I15"/>
  </mergeCells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R53"/>
  <sheetViews>
    <sheetView topLeftCell="G30" zoomScale="69" zoomScaleNormal="69" workbookViewId="0">
      <selection activeCell="N32" activeCellId="1" sqref="N47:R47 N32:R32"/>
    </sheetView>
  </sheetViews>
  <sheetFormatPr defaultColWidth="9" defaultRowHeight="17.5"/>
  <cols>
    <col min="3" max="3" width="23.08984375" customWidth="1"/>
    <col min="4" max="4" width="36.54296875" customWidth="1"/>
    <col min="5" max="5" width="30.7265625" customWidth="1"/>
    <col min="6" max="6" width="19.26953125" style="2" customWidth="1"/>
    <col min="7" max="7" width="17.81640625" style="2" customWidth="1"/>
    <col min="8" max="9" width="19.26953125" style="2" customWidth="1"/>
    <col min="12" max="12" width="13.81640625" customWidth="1"/>
    <col min="14" max="14" width="31.81640625" customWidth="1"/>
    <col min="15" max="15" width="29.08984375" customWidth="1"/>
    <col min="16" max="16" width="19.7265625" customWidth="1"/>
    <col min="17" max="17" width="15.26953125" customWidth="1"/>
    <col min="18" max="18" width="16" customWidth="1"/>
    <col min="22" max="22" width="16.1796875" customWidth="1"/>
    <col min="23" max="23" width="14.54296875" customWidth="1"/>
    <col min="24" max="24" width="14.90625" customWidth="1"/>
    <col min="25" max="25" width="17.26953125" customWidth="1"/>
  </cols>
  <sheetData>
    <row r="4" spans="3:18" ht="26">
      <c r="C4" s="3"/>
      <c r="D4" s="4"/>
      <c r="E4" s="4"/>
      <c r="F4" s="5">
        <v>2020</v>
      </c>
      <c r="G4" s="103">
        <v>2021</v>
      </c>
      <c r="H4" s="5">
        <v>2022</v>
      </c>
      <c r="I4" s="5">
        <v>2023</v>
      </c>
      <c r="N4" s="105" t="s">
        <v>0</v>
      </c>
      <c r="O4" s="105"/>
      <c r="P4" s="105"/>
      <c r="Q4" s="105"/>
      <c r="R4" s="105"/>
    </row>
    <row r="5" spans="3:18">
      <c r="C5" s="6" t="s">
        <v>20</v>
      </c>
      <c r="D5" s="7"/>
      <c r="E5" s="7"/>
      <c r="F5" s="8"/>
      <c r="G5" s="8"/>
      <c r="H5" s="8"/>
      <c r="I5" s="8"/>
      <c r="N5" s="105"/>
      <c r="O5" s="105"/>
      <c r="P5" s="105"/>
      <c r="Q5" s="105"/>
      <c r="R5" s="105"/>
    </row>
    <row r="6" spans="3:18" ht="29.5" customHeight="1">
      <c r="C6" s="128" t="s">
        <v>21</v>
      </c>
      <c r="D6" s="115" t="s">
        <v>22</v>
      </c>
      <c r="E6" s="10" t="s">
        <v>23</v>
      </c>
      <c r="F6" s="11">
        <f>O8</f>
        <v>8997</v>
      </c>
      <c r="G6" s="11">
        <f t="shared" ref="G6:I6" si="0">P8</f>
        <v>10308</v>
      </c>
      <c r="H6" s="11">
        <f t="shared" si="0"/>
        <v>10909</v>
      </c>
      <c r="I6" s="11">
        <f t="shared" si="0"/>
        <v>11311</v>
      </c>
      <c r="N6" s="71"/>
      <c r="O6" s="72">
        <v>2020</v>
      </c>
      <c r="P6" s="72">
        <v>2021</v>
      </c>
      <c r="Q6" s="72">
        <v>2022</v>
      </c>
      <c r="R6" s="72">
        <v>2023</v>
      </c>
    </row>
    <row r="7" spans="3:18" ht="27" customHeight="1">
      <c r="C7" s="128"/>
      <c r="D7" s="115"/>
      <c r="E7" s="10" t="s">
        <v>24</v>
      </c>
      <c r="F7" s="11">
        <f>O18+O19</f>
        <v>87294</v>
      </c>
      <c r="G7" s="11">
        <f t="shared" ref="G7:I7" si="1">P18+P19</f>
        <v>94354</v>
      </c>
      <c r="H7" s="11">
        <f t="shared" si="1"/>
        <v>92763</v>
      </c>
      <c r="I7" s="11">
        <f t="shared" si="1"/>
        <v>97703</v>
      </c>
      <c r="N7" s="71" t="s">
        <v>1</v>
      </c>
      <c r="O7" s="73">
        <f>'The Raw Data '!C6</f>
        <v>33014</v>
      </c>
      <c r="P7" s="73">
        <f>'The Raw Data '!D6</f>
        <v>38655</v>
      </c>
      <c r="Q7" s="73">
        <f>'The Raw Data '!E6</f>
        <v>43004</v>
      </c>
      <c r="R7" s="73">
        <f>'The Raw Data '!F6</f>
        <v>45754</v>
      </c>
    </row>
    <row r="8" spans="3:18" ht="18.5">
      <c r="C8" s="128"/>
      <c r="D8" s="115"/>
      <c r="E8" s="10" t="s">
        <v>25</v>
      </c>
      <c r="F8" s="12">
        <f>O20</f>
        <v>14601</v>
      </c>
      <c r="G8" s="12">
        <f t="shared" ref="G8:I8" si="2">P20</f>
        <v>19950</v>
      </c>
      <c r="H8" s="12">
        <f t="shared" si="2"/>
        <v>19724</v>
      </c>
      <c r="I8" s="12">
        <f t="shared" si="2"/>
        <v>23571</v>
      </c>
      <c r="N8" s="71" t="s">
        <v>2</v>
      </c>
      <c r="O8" s="73">
        <f>'The Raw Data '!C7</f>
        <v>8997</v>
      </c>
      <c r="P8" s="73">
        <f>'The Raw Data '!D7</f>
        <v>10308</v>
      </c>
      <c r="Q8" s="73">
        <f>'The Raw Data '!E7</f>
        <v>10909</v>
      </c>
      <c r="R8" s="73">
        <f>'The Raw Data '!F7</f>
        <v>11311</v>
      </c>
    </row>
    <row r="9" spans="3:18" ht="27" customHeight="1">
      <c r="C9" s="128"/>
      <c r="D9" s="9"/>
      <c r="E9" s="10"/>
      <c r="F9" s="13">
        <f>F6/(F7-F8)</f>
        <v>0.12376707523420412</v>
      </c>
      <c r="G9" s="13">
        <f t="shared" ref="G9:I9" si="3">G6/(G7-G8)</f>
        <v>0.13854093865921188</v>
      </c>
      <c r="H9" s="13">
        <f t="shared" si="3"/>
        <v>0.14935856186420954</v>
      </c>
      <c r="I9" s="13">
        <f t="shared" si="3"/>
        <v>0.15257918307883236</v>
      </c>
      <c r="N9" s="71" t="s">
        <v>3</v>
      </c>
      <c r="O9" s="73">
        <f>'The Raw Data '!C8</f>
        <v>1437</v>
      </c>
      <c r="P9" s="73">
        <f>'The Raw Data '!D8</f>
        <v>1597</v>
      </c>
      <c r="Q9" s="73">
        <f>'The Raw Data '!E8</f>
        <v>882</v>
      </c>
      <c r="R9" s="73">
        <f>'The Raw Data '!F8</f>
        <v>1527</v>
      </c>
    </row>
    <row r="10" spans="3:18" ht="21" customHeight="1">
      <c r="C10" s="14"/>
      <c r="D10" s="15"/>
      <c r="E10" s="16"/>
      <c r="F10" s="17"/>
      <c r="G10" s="18"/>
      <c r="H10" s="17"/>
      <c r="I10" s="17"/>
      <c r="N10" s="71" t="s">
        <v>4</v>
      </c>
      <c r="O10" s="73">
        <f>'The Raw Data '!C9</f>
        <v>9804</v>
      </c>
      <c r="P10" s="73">
        <f>'The Raw Data '!D9</f>
        <v>7768</v>
      </c>
      <c r="Q10" s="73">
        <f>'The Raw Data '!E9</f>
        <v>9571</v>
      </c>
      <c r="R10" s="73">
        <f>'The Raw Data '!F9</f>
        <v>10703</v>
      </c>
    </row>
    <row r="11" spans="3:18" ht="44.15" customHeight="1">
      <c r="C11" s="109" t="s">
        <v>26</v>
      </c>
      <c r="D11" s="116" t="s">
        <v>27</v>
      </c>
      <c r="E11" s="10" t="s">
        <v>23</v>
      </c>
      <c r="F11" s="11">
        <f>O8</f>
        <v>8997</v>
      </c>
      <c r="G11" s="11">
        <f t="shared" ref="G11:I11" si="4">P8</f>
        <v>10308</v>
      </c>
      <c r="H11" s="11">
        <f t="shared" si="4"/>
        <v>10909</v>
      </c>
      <c r="I11" s="11">
        <f t="shared" si="4"/>
        <v>11311</v>
      </c>
      <c r="N11" s="71" t="s">
        <v>5</v>
      </c>
      <c r="O11" s="73">
        <f>'The Raw Data '!C10</f>
        <v>13433</v>
      </c>
      <c r="P11" s="73">
        <f>'The Raw Data '!D10</f>
        <v>15357</v>
      </c>
      <c r="Q11" s="73">
        <f>'The Raw Data '!E10</f>
        <v>18000</v>
      </c>
      <c r="R11" s="73">
        <f>'The Raw Data '!F10</f>
        <v>18520</v>
      </c>
    </row>
    <row r="12" spans="3:18" ht="25.5" customHeight="1">
      <c r="C12" s="110"/>
      <c r="D12" s="117"/>
      <c r="E12" s="10" t="s">
        <v>28</v>
      </c>
      <c r="F12" s="12">
        <f>O7</f>
        <v>33014</v>
      </c>
      <c r="G12" s="12">
        <f t="shared" ref="G12:I12" si="5">P7</f>
        <v>38655</v>
      </c>
      <c r="H12" s="12">
        <f t="shared" si="5"/>
        <v>43004</v>
      </c>
      <c r="I12" s="12">
        <f t="shared" si="5"/>
        <v>45754</v>
      </c>
      <c r="N12" s="74"/>
      <c r="O12" s="74"/>
      <c r="P12" s="74"/>
      <c r="Q12" s="74"/>
      <c r="R12" s="74"/>
    </row>
    <row r="13" spans="3:18" ht="28.5" customHeight="1">
      <c r="C13" s="111"/>
      <c r="D13" s="19"/>
      <c r="E13" s="10"/>
      <c r="F13" s="20">
        <f>F11/F12</f>
        <v>0.27252074877324772</v>
      </c>
      <c r="G13" s="20">
        <f t="shared" ref="G13:I13" si="6">G11/G12</f>
        <v>0.26666666666666666</v>
      </c>
      <c r="H13" s="20">
        <f t="shared" si="6"/>
        <v>0.25367407683006232</v>
      </c>
      <c r="I13" s="20">
        <f t="shared" si="6"/>
        <v>0.24721335839489444</v>
      </c>
      <c r="N13" s="74"/>
      <c r="O13" s="74"/>
      <c r="P13" s="74"/>
      <c r="Q13" s="74"/>
      <c r="R13" s="74"/>
    </row>
    <row r="14" spans="3:18" ht="18.5">
      <c r="C14" s="21"/>
      <c r="D14" s="22"/>
      <c r="E14" s="16"/>
      <c r="F14" s="17"/>
      <c r="G14" s="18"/>
      <c r="H14" s="17"/>
      <c r="I14" s="17"/>
      <c r="N14" s="74"/>
      <c r="O14" s="74"/>
      <c r="P14" s="74"/>
      <c r="Q14" s="74"/>
      <c r="R14" s="74"/>
    </row>
    <row r="15" spans="3:18" ht="25" customHeight="1">
      <c r="C15" s="109" t="s">
        <v>29</v>
      </c>
      <c r="D15" s="116" t="s">
        <v>30</v>
      </c>
      <c r="E15" s="10" t="s">
        <v>31</v>
      </c>
      <c r="F15" s="12">
        <f>O10</f>
        <v>9804</v>
      </c>
      <c r="G15" s="12">
        <f t="shared" ref="G15:I15" si="7">P10</f>
        <v>7768</v>
      </c>
      <c r="H15" s="12">
        <f t="shared" si="7"/>
        <v>9571</v>
      </c>
      <c r="I15" s="12">
        <f t="shared" si="7"/>
        <v>10703</v>
      </c>
      <c r="N15" s="105" t="s">
        <v>6</v>
      </c>
      <c r="O15" s="105"/>
      <c r="P15" s="105"/>
      <c r="Q15" s="105"/>
      <c r="R15" s="105"/>
    </row>
    <row r="16" spans="3:18" ht="20.149999999999999" customHeight="1">
      <c r="C16" s="110"/>
      <c r="D16" s="117"/>
      <c r="E16" s="10" t="s">
        <v>24</v>
      </c>
      <c r="F16" s="12">
        <f>O18+O19</f>
        <v>87294</v>
      </c>
      <c r="G16" s="12">
        <f t="shared" ref="G16:I16" si="8">P18+P19</f>
        <v>94354</v>
      </c>
      <c r="H16" s="12">
        <f t="shared" si="8"/>
        <v>92763</v>
      </c>
      <c r="I16" s="12">
        <f t="shared" si="8"/>
        <v>97703</v>
      </c>
      <c r="N16" s="105"/>
      <c r="O16" s="105"/>
      <c r="P16" s="105"/>
      <c r="Q16" s="105"/>
      <c r="R16" s="105"/>
    </row>
    <row r="17" spans="3:18" ht="18.5">
      <c r="C17" s="111"/>
      <c r="E17" s="10"/>
      <c r="F17" s="13">
        <f>F15/F16</f>
        <v>0.11231012440717575</v>
      </c>
      <c r="G17" s="13">
        <f t="shared" ref="G17:I17" si="9">G15/G16</f>
        <v>8.2328253174216243E-2</v>
      </c>
      <c r="H17" s="13">
        <f t="shared" si="9"/>
        <v>0.10317691320893028</v>
      </c>
      <c r="I17" s="13">
        <f t="shared" si="9"/>
        <v>0.10954627800579307</v>
      </c>
      <c r="N17" s="71"/>
      <c r="O17" s="72">
        <v>2020</v>
      </c>
      <c r="P17" s="72">
        <v>2021</v>
      </c>
      <c r="Q17" s="72">
        <v>2022</v>
      </c>
      <c r="R17" s="72">
        <v>2023</v>
      </c>
    </row>
    <row r="18" spans="3:18" ht="18.5">
      <c r="C18" s="23"/>
      <c r="D18" s="24"/>
      <c r="E18" s="24"/>
      <c r="F18" s="25"/>
      <c r="G18" s="25"/>
      <c r="H18" s="25"/>
      <c r="I18" s="25"/>
      <c r="N18" s="71" t="s">
        <v>7</v>
      </c>
      <c r="O18" s="75">
        <f>'The Raw Data '!C17</f>
        <v>19240</v>
      </c>
      <c r="P18" s="75">
        <f>'The Raw Data '!D17</f>
        <v>22545</v>
      </c>
      <c r="Q18" s="75">
        <f>'The Raw Data '!E17</f>
        <v>22591</v>
      </c>
      <c r="R18" s="75">
        <f>'The Raw Data '!F17</f>
        <v>26732</v>
      </c>
    </row>
    <row r="19" spans="3:18" s="1" customFormat="1" ht="18.5">
      <c r="C19" s="26" t="s">
        <v>32</v>
      </c>
      <c r="D19" s="27"/>
      <c r="E19" s="27"/>
      <c r="F19" s="28"/>
      <c r="G19" s="28"/>
      <c r="H19" s="28"/>
      <c r="I19" s="28"/>
      <c r="N19" s="71" t="s">
        <v>8</v>
      </c>
      <c r="O19" s="75">
        <f>'The Raw Data '!C18</f>
        <v>68054</v>
      </c>
      <c r="P19" s="75">
        <f>'The Raw Data '!D18</f>
        <v>71809</v>
      </c>
      <c r="Q19" s="75">
        <f>'The Raw Data '!E18</f>
        <v>70172</v>
      </c>
      <c r="R19" s="75">
        <f>'The Raw Data '!F18</f>
        <v>70971</v>
      </c>
    </row>
    <row r="20" spans="3:18" ht="22.5" customHeight="1">
      <c r="C20" s="128" t="s">
        <v>33</v>
      </c>
      <c r="D20" s="118" t="s">
        <v>34</v>
      </c>
      <c r="E20" s="7" t="s">
        <v>35</v>
      </c>
      <c r="F20" s="29">
        <f>O18</f>
        <v>19240</v>
      </c>
      <c r="G20" s="29">
        <f t="shared" ref="G20:I20" si="10">P18</f>
        <v>22545</v>
      </c>
      <c r="H20" s="29">
        <f t="shared" si="10"/>
        <v>22591</v>
      </c>
      <c r="I20" s="29">
        <f t="shared" si="10"/>
        <v>26732</v>
      </c>
      <c r="N20" s="71" t="s">
        <v>9</v>
      </c>
      <c r="O20" s="75">
        <f>'The Raw Data '!C19</f>
        <v>14601</v>
      </c>
      <c r="P20" s="75">
        <f>'The Raw Data '!D19</f>
        <v>19950</v>
      </c>
      <c r="Q20" s="75">
        <f>'The Raw Data '!E19</f>
        <v>19724</v>
      </c>
      <c r="R20" s="75">
        <f>'The Raw Data '!F19</f>
        <v>23571</v>
      </c>
    </row>
    <row r="21" spans="3:18" ht="35.5" customHeight="1">
      <c r="C21" s="129"/>
      <c r="D21" s="119"/>
      <c r="E21" s="7" t="s">
        <v>36</v>
      </c>
      <c r="F21" s="29">
        <f>O20</f>
        <v>14601</v>
      </c>
      <c r="G21" s="29">
        <f t="shared" ref="G21:I21" si="11">P20</f>
        <v>19950</v>
      </c>
      <c r="H21" s="29">
        <f t="shared" si="11"/>
        <v>19724</v>
      </c>
      <c r="I21" s="29">
        <f t="shared" si="11"/>
        <v>23571</v>
      </c>
      <c r="N21" s="71" t="s">
        <v>10</v>
      </c>
      <c r="O21" s="75">
        <f>'The Raw Data '!C20</f>
        <v>51411</v>
      </c>
      <c r="P21" s="75">
        <f>'The Raw Data '!D20</f>
        <v>49544</v>
      </c>
      <c r="Q21" s="75">
        <f>'The Raw Data '!E20</f>
        <v>47213</v>
      </c>
      <c r="R21" s="75">
        <f>'The Raw Data '!F20</f>
        <v>46649</v>
      </c>
    </row>
    <row r="22" spans="3:18" ht="21.65" customHeight="1">
      <c r="C22" s="129"/>
      <c r="D22" s="7"/>
      <c r="E22" s="7"/>
      <c r="F22" s="30">
        <f>F20/F21</f>
        <v>1.317717964522978</v>
      </c>
      <c r="G22" s="30">
        <f t="shared" ref="G22:I22" si="12">G20/G21</f>
        <v>1.1300751879699249</v>
      </c>
      <c r="H22" s="30">
        <f t="shared" si="12"/>
        <v>1.1453559115798013</v>
      </c>
      <c r="I22" s="30">
        <f t="shared" si="12"/>
        <v>1.1341054685842773</v>
      </c>
      <c r="N22" s="71" t="s">
        <v>11</v>
      </c>
      <c r="O22" s="75">
        <f>'The Raw Data '!C21</f>
        <v>21284</v>
      </c>
      <c r="P22" s="75">
        <f>'The Raw Data '!D21</f>
        <v>24860</v>
      </c>
      <c r="Q22" s="75">
        <f>'The Raw Data '!E21</f>
        <v>25826</v>
      </c>
      <c r="R22" s="75">
        <f>'The Raw Data '!F21</f>
        <v>27480</v>
      </c>
    </row>
    <row r="23" spans="3:18" ht="11.15" customHeight="1">
      <c r="C23" s="31"/>
      <c r="D23" s="32"/>
      <c r="E23" s="32"/>
      <c r="F23" s="33"/>
      <c r="G23" s="34"/>
      <c r="H23" s="33"/>
      <c r="I23" s="33"/>
      <c r="N23" s="74"/>
      <c r="O23" s="74"/>
      <c r="P23" s="74"/>
      <c r="Q23" s="74"/>
      <c r="R23" s="74"/>
    </row>
    <row r="24" spans="3:18" ht="37.5" customHeight="1">
      <c r="C24" s="106" t="s">
        <v>37</v>
      </c>
      <c r="D24" s="120" t="s">
        <v>38</v>
      </c>
      <c r="E24" s="10" t="s">
        <v>35</v>
      </c>
      <c r="F24" s="29">
        <f>O18</f>
        <v>19240</v>
      </c>
      <c r="G24" s="29">
        <f t="shared" ref="G24:I24" si="13">P18</f>
        <v>22545</v>
      </c>
      <c r="H24" s="29">
        <f t="shared" si="13"/>
        <v>22591</v>
      </c>
      <c r="I24" s="29">
        <f t="shared" si="13"/>
        <v>26732</v>
      </c>
      <c r="N24" s="71" t="s">
        <v>12</v>
      </c>
      <c r="O24" s="76">
        <f>'The Raw Data '!C23</f>
        <v>3144</v>
      </c>
      <c r="P24" s="76">
        <f>'The Raw Data '!D23</f>
        <v>3512</v>
      </c>
      <c r="Q24" s="76">
        <f>'The Raw Data '!E23</f>
        <v>3487</v>
      </c>
      <c r="R24" s="76">
        <f>'The Raw Data '!F23</f>
        <v>3410</v>
      </c>
    </row>
    <row r="25" spans="3:18" ht="37.5" customHeight="1">
      <c r="C25" s="130"/>
      <c r="D25" s="120"/>
      <c r="E25" s="7" t="s">
        <v>39</v>
      </c>
      <c r="F25" s="12">
        <f>O25</f>
        <v>3266</v>
      </c>
      <c r="G25" s="12">
        <f t="shared" ref="G25:I25" si="14">P25</f>
        <v>3414</v>
      </c>
      <c r="H25" s="12">
        <f t="shared" si="14"/>
        <v>4233</v>
      </c>
      <c r="I25" s="12">
        <f t="shared" si="14"/>
        <v>4424</v>
      </c>
      <c r="N25" s="71" t="s">
        <v>13</v>
      </c>
      <c r="O25" s="76">
        <f>'The Raw Data '!C24</f>
        <v>3266</v>
      </c>
      <c r="P25" s="76">
        <f>'The Raw Data '!D24</f>
        <v>3414</v>
      </c>
      <c r="Q25" s="76">
        <f>'The Raw Data '!E24</f>
        <v>4233</v>
      </c>
      <c r="R25" s="76">
        <f>'The Raw Data '!F24</f>
        <v>4424</v>
      </c>
    </row>
    <row r="26" spans="3:18" ht="37.5" customHeight="1">
      <c r="C26" s="130"/>
      <c r="D26" s="35"/>
      <c r="E26" s="35" t="s">
        <v>36</v>
      </c>
      <c r="F26" s="12">
        <f>O20</f>
        <v>14601</v>
      </c>
      <c r="G26" s="12">
        <f t="shared" ref="G26:I26" si="15">P20</f>
        <v>19950</v>
      </c>
      <c r="H26" s="12">
        <f t="shared" si="15"/>
        <v>19724</v>
      </c>
      <c r="I26" s="12">
        <f t="shared" si="15"/>
        <v>23571</v>
      </c>
      <c r="N26" s="71" t="s">
        <v>14</v>
      </c>
      <c r="O26" s="76">
        <f>'The Raw Data '!C25</f>
        <v>11145</v>
      </c>
      <c r="P26" s="76">
        <f>'The Raw Data '!D25</f>
        <v>14619</v>
      </c>
      <c r="Q26" s="76">
        <f>'The Raw Data '!E25</f>
        <v>15749</v>
      </c>
      <c r="R26" s="76">
        <f>'The Raw Data '!F25</f>
        <v>15485</v>
      </c>
    </row>
    <row r="27" spans="3:18" ht="18.649999999999999" customHeight="1">
      <c r="C27" s="130"/>
      <c r="D27" s="7"/>
      <c r="E27" s="7"/>
      <c r="F27" s="36">
        <f>(F24-F25)/F26</f>
        <v>1.0940346551606055</v>
      </c>
      <c r="G27" s="36">
        <f t="shared" ref="G27:I27" si="16">(G24-G25)/G26</f>
        <v>0.95894736842105266</v>
      </c>
      <c r="H27" s="36">
        <f t="shared" si="16"/>
        <v>0.93074427093895762</v>
      </c>
      <c r="I27" s="36">
        <f t="shared" si="16"/>
        <v>0.94641720758559245</v>
      </c>
      <c r="N27" s="71" t="s">
        <v>15</v>
      </c>
      <c r="O27" s="76">
        <f>'The Raw Data '!C26</f>
        <v>7040</v>
      </c>
      <c r="P27" s="76">
        <f>'The Raw Data '!D26</f>
        <v>7040</v>
      </c>
      <c r="Q27" s="76">
        <f>'The Raw Data '!E26</f>
        <v>7040</v>
      </c>
      <c r="R27" s="76">
        <f>'The Raw Data '!F26</f>
        <v>7040</v>
      </c>
    </row>
    <row r="28" spans="3:18" ht="29.25" customHeight="1">
      <c r="C28" s="23"/>
      <c r="D28" s="24"/>
      <c r="E28" s="24"/>
      <c r="F28" s="37"/>
      <c r="G28" s="37"/>
      <c r="H28" s="37"/>
      <c r="I28" s="37"/>
      <c r="J28" s="127"/>
      <c r="K28" s="127"/>
      <c r="L28" s="127"/>
      <c r="N28" s="134" t="s">
        <v>16</v>
      </c>
      <c r="O28" s="76">
        <f>'The Raw Data '!C27</f>
        <v>7047</v>
      </c>
      <c r="P28" s="76">
        <f>'The Raw Data '!D27</f>
        <v>7252</v>
      </c>
      <c r="Q28" s="76">
        <f>'The Raw Data '!E27</f>
        <v>7616</v>
      </c>
      <c r="R28" s="76">
        <f>'The Raw Data '!F27</f>
        <v>7952</v>
      </c>
    </row>
    <row r="29" spans="3:18">
      <c r="C29" s="38" t="s">
        <v>40</v>
      </c>
      <c r="D29" s="39"/>
      <c r="E29" s="40"/>
      <c r="F29" s="41"/>
      <c r="G29" s="42"/>
      <c r="H29" s="41"/>
      <c r="I29" s="41"/>
    </row>
    <row r="30" spans="3:18" ht="31" customHeight="1">
      <c r="C30" s="131" t="s">
        <v>41</v>
      </c>
      <c r="D30" s="121" t="s">
        <v>42</v>
      </c>
      <c r="E30" s="7" t="s">
        <v>43</v>
      </c>
      <c r="F30" s="102">
        <f>O25</f>
        <v>3266</v>
      </c>
      <c r="G30" s="102">
        <f t="shared" ref="G30:I30" si="17">P25</f>
        <v>3414</v>
      </c>
      <c r="H30" s="102">
        <f t="shared" si="17"/>
        <v>4233</v>
      </c>
      <c r="I30" s="102">
        <f t="shared" si="17"/>
        <v>4424</v>
      </c>
      <c r="J30" s="78"/>
      <c r="K30" s="79"/>
      <c r="L30" s="80"/>
    </row>
    <row r="31" spans="3:18" ht="28.5" customHeight="1" thickBot="1">
      <c r="C31" s="132"/>
      <c r="D31" s="122"/>
      <c r="E31" s="7" t="s">
        <v>44</v>
      </c>
      <c r="F31" s="12">
        <f>O11</f>
        <v>13433</v>
      </c>
      <c r="G31" s="12">
        <f t="shared" ref="G31:I31" si="18">P11</f>
        <v>15357</v>
      </c>
      <c r="H31" s="12">
        <f t="shared" si="18"/>
        <v>18000</v>
      </c>
      <c r="I31" s="12">
        <f t="shared" si="18"/>
        <v>18520</v>
      </c>
    </row>
    <row r="32" spans="3:18" ht="25.5" customHeight="1">
      <c r="C32" s="132"/>
      <c r="D32" s="43"/>
      <c r="E32" s="7"/>
      <c r="F32" s="44">
        <v>365</v>
      </c>
      <c r="G32" s="44">
        <v>365</v>
      </c>
      <c r="H32" s="44">
        <v>365</v>
      </c>
      <c r="I32" s="44">
        <v>365</v>
      </c>
      <c r="N32" s="81" t="s">
        <v>45</v>
      </c>
      <c r="O32" s="81">
        <v>2020</v>
      </c>
      <c r="P32" s="81">
        <v>2021</v>
      </c>
      <c r="Q32" s="81">
        <v>2022</v>
      </c>
      <c r="R32" s="81">
        <v>2023</v>
      </c>
    </row>
    <row r="33" spans="3:18" ht="27" customHeight="1" thickBot="1">
      <c r="C33" s="133"/>
      <c r="D33" s="45"/>
      <c r="E33" s="46"/>
      <c r="F33" s="47">
        <f>(F30*F32)/F31</f>
        <v>88.743393136306111</v>
      </c>
      <c r="G33" s="47">
        <f t="shared" ref="G33:I33" si="19">(G30*G32)/G31</f>
        <v>81.142801328384451</v>
      </c>
      <c r="H33" s="47">
        <f t="shared" si="19"/>
        <v>85.835833333333326</v>
      </c>
      <c r="I33" s="47">
        <f t="shared" si="19"/>
        <v>87.190064794816408</v>
      </c>
      <c r="N33" s="82" t="s">
        <v>46</v>
      </c>
      <c r="O33" s="83"/>
      <c r="P33" s="83"/>
      <c r="Q33" s="83"/>
      <c r="R33" s="83"/>
    </row>
    <row r="34" spans="3:18" ht="15.65" customHeight="1">
      <c r="C34" s="48"/>
      <c r="D34" s="49"/>
      <c r="E34" s="49"/>
      <c r="F34" s="50"/>
      <c r="G34" s="51"/>
      <c r="H34" s="50"/>
      <c r="I34" s="50"/>
      <c r="J34" s="127"/>
      <c r="K34" s="127"/>
      <c r="L34" s="127"/>
      <c r="N34" s="71" t="s">
        <v>47</v>
      </c>
      <c r="O34" s="84">
        <f>F9</f>
        <v>0.12376707523420412</v>
      </c>
      <c r="P34" s="84">
        <f t="shared" ref="P34:R34" si="20">G9</f>
        <v>0.13854093865921188</v>
      </c>
      <c r="Q34" s="84">
        <f t="shared" si="20"/>
        <v>0.14935856186420954</v>
      </c>
      <c r="R34" s="84">
        <f t="shared" si="20"/>
        <v>0.15257918307883236</v>
      </c>
    </row>
    <row r="35" spans="3:18" ht="17.25" customHeight="1">
      <c r="C35" s="52"/>
      <c r="D35" s="32"/>
      <c r="E35" s="32"/>
      <c r="F35" s="53"/>
      <c r="G35" s="54"/>
      <c r="H35" s="53"/>
      <c r="I35" s="53"/>
      <c r="N35" s="71" t="s">
        <v>48</v>
      </c>
      <c r="O35" s="84">
        <f>F13</f>
        <v>0.27252074877324772</v>
      </c>
      <c r="P35" s="84">
        <f t="shared" ref="P35:R35" si="21">G13</f>
        <v>0.26666666666666666</v>
      </c>
      <c r="Q35" s="84">
        <f t="shared" si="21"/>
        <v>0.25367407683006232</v>
      </c>
      <c r="R35" s="84">
        <f t="shared" si="21"/>
        <v>0.24721335839489444</v>
      </c>
    </row>
    <row r="36" spans="3:18" ht="24" customHeight="1">
      <c r="C36" s="106" t="s">
        <v>49</v>
      </c>
      <c r="D36" s="123" t="s">
        <v>50</v>
      </c>
      <c r="E36" s="7" t="s">
        <v>51</v>
      </c>
      <c r="F36" s="55">
        <f>O24</f>
        <v>3144</v>
      </c>
      <c r="G36" s="55">
        <f t="shared" ref="G36:I36" si="22">P24</f>
        <v>3512</v>
      </c>
      <c r="H36" s="55">
        <f t="shared" si="22"/>
        <v>3487</v>
      </c>
      <c r="I36" s="55">
        <f t="shared" si="22"/>
        <v>3410</v>
      </c>
      <c r="J36" s="78"/>
      <c r="K36" s="79"/>
      <c r="L36" s="80"/>
      <c r="N36" s="71" t="s">
        <v>52</v>
      </c>
      <c r="O36" s="84">
        <f>F17</f>
        <v>0.11231012440717575</v>
      </c>
      <c r="P36" s="84">
        <f t="shared" ref="P36:R36" si="23">G17</f>
        <v>8.2328253174216243E-2</v>
      </c>
      <c r="Q36" s="84">
        <f t="shared" si="23"/>
        <v>0.10317691320893028</v>
      </c>
      <c r="R36" s="84">
        <f t="shared" si="23"/>
        <v>0.10954627800579307</v>
      </c>
    </row>
    <row r="37" spans="3:18" ht="19" thickBot="1">
      <c r="C37" s="107"/>
      <c r="D37" s="124"/>
      <c r="E37" s="56" t="s">
        <v>53</v>
      </c>
      <c r="F37" s="12">
        <f>O7</f>
        <v>33014</v>
      </c>
      <c r="G37" s="12">
        <f t="shared" ref="G37:I37" si="24">P7</f>
        <v>38655</v>
      </c>
      <c r="H37" s="12">
        <f t="shared" si="24"/>
        <v>43004</v>
      </c>
      <c r="I37" s="12">
        <f t="shared" si="24"/>
        <v>45754</v>
      </c>
      <c r="N37" s="85" t="s">
        <v>54</v>
      </c>
      <c r="O37" s="83"/>
      <c r="P37" s="83"/>
      <c r="Q37" s="83"/>
      <c r="R37" s="83"/>
    </row>
    <row r="38" spans="3:18" ht="18.5">
      <c r="C38" s="107"/>
      <c r="D38" s="124"/>
      <c r="E38" s="56"/>
      <c r="F38" s="44">
        <v>365</v>
      </c>
      <c r="G38" s="44">
        <v>366</v>
      </c>
      <c r="H38" s="44">
        <v>367</v>
      </c>
      <c r="I38" s="44">
        <v>368</v>
      </c>
      <c r="N38" s="71" t="s">
        <v>55</v>
      </c>
      <c r="O38" s="86">
        <f>F33</f>
        <v>88.743393136306111</v>
      </c>
      <c r="P38" s="86">
        <f t="shared" ref="P38:R38" si="25">G33</f>
        <v>81.142801328384451</v>
      </c>
      <c r="Q38" s="86">
        <f t="shared" si="25"/>
        <v>85.835833333333326</v>
      </c>
      <c r="R38" s="86">
        <f t="shared" si="25"/>
        <v>87.190064794816408</v>
      </c>
    </row>
    <row r="39" spans="3:18" ht="18.5">
      <c r="C39" s="108"/>
      <c r="D39" s="125"/>
      <c r="E39" s="56"/>
      <c r="F39" s="47">
        <f>(F36*F38)/F37</f>
        <v>34.759798873205305</v>
      </c>
      <c r="G39" s="47">
        <f t="shared" ref="G39:I39" si="26">(G36*G38)/G37</f>
        <v>33.252929763290645</v>
      </c>
      <c r="H39" s="47">
        <f t="shared" si="26"/>
        <v>29.758371314296344</v>
      </c>
      <c r="I39" s="47">
        <f t="shared" si="26"/>
        <v>27.426673077763692</v>
      </c>
      <c r="N39" s="71" t="s">
        <v>56</v>
      </c>
      <c r="O39" s="86">
        <f>F39</f>
        <v>34.759798873205305</v>
      </c>
      <c r="P39" s="86">
        <f t="shared" ref="P39:R39" si="27">G39</f>
        <v>33.252929763290645</v>
      </c>
      <c r="Q39" s="86">
        <f t="shared" si="27"/>
        <v>29.758371314296344</v>
      </c>
      <c r="R39" s="86">
        <f t="shared" si="27"/>
        <v>27.426673077763692</v>
      </c>
    </row>
    <row r="40" spans="3:18" ht="18.5">
      <c r="C40" s="52"/>
      <c r="D40" s="32"/>
      <c r="E40" s="32"/>
      <c r="F40" s="57"/>
      <c r="G40" s="57"/>
      <c r="H40" s="57"/>
      <c r="I40" s="57"/>
      <c r="N40" s="87" t="s">
        <v>57</v>
      </c>
      <c r="O40" s="83"/>
      <c r="P40" s="83"/>
      <c r="Q40" s="83"/>
      <c r="R40" s="83"/>
    </row>
    <row r="41" spans="3:18" ht="18.5">
      <c r="C41" s="6" t="s">
        <v>58</v>
      </c>
      <c r="D41" s="7"/>
      <c r="E41" s="7"/>
      <c r="F41" s="8"/>
      <c r="G41" s="8"/>
      <c r="H41" s="8"/>
      <c r="I41" s="8"/>
      <c r="N41" s="71" t="s">
        <v>59</v>
      </c>
      <c r="O41" s="88">
        <f>F22</f>
        <v>1.317717964522978</v>
      </c>
      <c r="P41" s="88">
        <f t="shared" ref="P41:R41" si="28">G22</f>
        <v>1.1300751879699249</v>
      </c>
      <c r="Q41" s="88">
        <f t="shared" si="28"/>
        <v>1.1453559115798013</v>
      </c>
      <c r="R41" s="88">
        <f t="shared" si="28"/>
        <v>1.1341054685842773</v>
      </c>
    </row>
    <row r="42" spans="3:18" ht="47.15" customHeight="1">
      <c r="C42" s="109" t="s">
        <v>60</v>
      </c>
      <c r="D42" s="126" t="s">
        <v>61</v>
      </c>
      <c r="E42" s="56" t="s">
        <v>2</v>
      </c>
      <c r="F42" s="11">
        <f>O8</f>
        <v>8997</v>
      </c>
      <c r="G42" s="11">
        <f t="shared" ref="G42:I42" si="29">P8</f>
        <v>10308</v>
      </c>
      <c r="H42" s="11">
        <f t="shared" si="29"/>
        <v>10909</v>
      </c>
      <c r="I42" s="11">
        <f t="shared" si="29"/>
        <v>11311</v>
      </c>
      <c r="N42" s="71" t="s">
        <v>62</v>
      </c>
      <c r="O42" s="89">
        <f>F27</f>
        <v>1.0940346551606055</v>
      </c>
      <c r="P42" s="89">
        <f t="shared" ref="P42:R42" si="30">G27</f>
        <v>0.95894736842105266</v>
      </c>
      <c r="Q42" s="89">
        <f t="shared" si="30"/>
        <v>0.93074427093895762</v>
      </c>
      <c r="R42" s="89">
        <f t="shared" si="30"/>
        <v>0.94641720758559245</v>
      </c>
    </row>
    <row r="43" spans="3:18" ht="18.5">
      <c r="C43" s="110"/>
      <c r="D43" s="126"/>
      <c r="E43" s="7" t="s">
        <v>63</v>
      </c>
      <c r="F43" s="12">
        <f>O9</f>
        <v>1437</v>
      </c>
      <c r="G43" s="12">
        <f t="shared" ref="G43:I43" si="31">P9</f>
        <v>1597</v>
      </c>
      <c r="H43" s="12">
        <f t="shared" si="31"/>
        <v>882</v>
      </c>
      <c r="I43" s="12">
        <f t="shared" si="31"/>
        <v>1527</v>
      </c>
      <c r="N43" s="87" t="s">
        <v>64</v>
      </c>
      <c r="O43" s="83"/>
      <c r="P43" s="83"/>
      <c r="Q43" s="83"/>
      <c r="R43" s="83"/>
    </row>
    <row r="44" spans="3:18" ht="18.5">
      <c r="C44" s="111"/>
      <c r="D44" s="7"/>
      <c r="E44" s="7"/>
      <c r="F44" s="30">
        <f>F42/F43</f>
        <v>6.2609603340292272</v>
      </c>
      <c r="G44" s="30">
        <f t="shared" ref="G44:I44" si="32">G42/G43</f>
        <v>6.4546023794614902</v>
      </c>
      <c r="H44" s="30">
        <f t="shared" si="32"/>
        <v>12.368480725623582</v>
      </c>
      <c r="I44" s="30">
        <f t="shared" si="32"/>
        <v>7.4073346430910281</v>
      </c>
      <c r="N44" s="71" t="s">
        <v>65</v>
      </c>
      <c r="O44" s="88">
        <f>F44</f>
        <v>6.2609603340292272</v>
      </c>
      <c r="P44" s="88">
        <f t="shared" ref="P44:R44" si="33">G44</f>
        <v>6.4546023794614902</v>
      </c>
      <c r="Q44" s="88">
        <f t="shared" si="33"/>
        <v>12.368480725623582</v>
      </c>
      <c r="R44" s="88">
        <f t="shared" si="33"/>
        <v>7.4073346430910281</v>
      </c>
    </row>
    <row r="45" spans="3:18" ht="18.5">
      <c r="C45" s="58"/>
      <c r="D45" s="24"/>
      <c r="E45" s="24"/>
      <c r="F45" s="59"/>
      <c r="G45" s="59"/>
      <c r="H45" s="59"/>
      <c r="I45" s="59"/>
      <c r="N45" s="134" t="s">
        <v>79</v>
      </c>
      <c r="O45" s="90">
        <f>F48</f>
        <v>0.70721507669028127</v>
      </c>
      <c r="P45" s="90">
        <f t="shared" ref="P45:R45" si="34">G48</f>
        <v>0.66587817859254883</v>
      </c>
      <c r="Q45" s="90">
        <f t="shared" si="34"/>
        <v>0.64640808335272937</v>
      </c>
      <c r="R45" s="90">
        <f t="shared" si="34"/>
        <v>0.6292948778480757</v>
      </c>
    </row>
    <row r="46" spans="3:18" ht="47.15" customHeight="1">
      <c r="C46" s="109" t="s">
        <v>66</v>
      </c>
      <c r="D46" s="126" t="s">
        <v>67</v>
      </c>
      <c r="E46" s="56" t="s">
        <v>68</v>
      </c>
      <c r="F46" s="11">
        <f>O21</f>
        <v>51411</v>
      </c>
      <c r="G46" s="11">
        <f t="shared" ref="G46:I46" si="35">P21</f>
        <v>49544</v>
      </c>
      <c r="H46" s="11">
        <f t="shared" si="35"/>
        <v>47213</v>
      </c>
      <c r="I46" s="11">
        <f t="shared" si="35"/>
        <v>46649</v>
      </c>
      <c r="N46" s="87" t="s">
        <v>69</v>
      </c>
      <c r="O46" s="83"/>
      <c r="P46" s="83"/>
      <c r="Q46" s="83"/>
      <c r="R46" s="83"/>
    </row>
    <row r="47" spans="3:18" ht="18.5">
      <c r="C47" s="110"/>
      <c r="D47" s="126"/>
      <c r="E47" s="7" t="s">
        <v>70</v>
      </c>
      <c r="F47" s="12">
        <f>O22</f>
        <v>21284</v>
      </c>
      <c r="G47" s="12">
        <f t="shared" ref="G47:I47" si="36">P22</f>
        <v>24860</v>
      </c>
      <c r="H47" s="12">
        <f t="shared" si="36"/>
        <v>25826</v>
      </c>
      <c r="I47" s="12">
        <f t="shared" si="36"/>
        <v>27480</v>
      </c>
      <c r="N47" s="7" t="s">
        <v>71</v>
      </c>
      <c r="O47" s="89">
        <f>F53</f>
        <v>1.3926136363636363</v>
      </c>
      <c r="P47" s="89">
        <f t="shared" ref="P47:R47" si="37">G53</f>
        <v>1.103409090909091</v>
      </c>
      <c r="Q47" s="89">
        <f t="shared" si="37"/>
        <v>1.3595170454545455</v>
      </c>
      <c r="R47" s="89">
        <f t="shared" si="37"/>
        <v>1.5203125</v>
      </c>
    </row>
    <row r="48" spans="3:18">
      <c r="C48" s="111"/>
      <c r="D48" s="7"/>
      <c r="E48" s="7"/>
      <c r="F48" s="60">
        <f>F46/(F47+F46)</f>
        <v>0.70721507669028127</v>
      </c>
      <c r="G48" s="60">
        <f t="shared" ref="G48:I48" si="38">G46/(G47+G46)</f>
        <v>0.66587817859254883</v>
      </c>
      <c r="H48" s="60">
        <f t="shared" si="38"/>
        <v>0.64640808335272937</v>
      </c>
      <c r="I48" s="60">
        <f t="shared" si="38"/>
        <v>0.6292948778480757</v>
      </c>
    </row>
    <row r="49" spans="3:14">
      <c r="C49" s="58"/>
      <c r="D49" s="24"/>
      <c r="E49" s="24"/>
      <c r="F49" s="61"/>
      <c r="G49" s="61"/>
      <c r="H49" s="61"/>
      <c r="I49" s="61"/>
      <c r="M49">
        <v>2023</v>
      </c>
      <c r="N49">
        <v>2022</v>
      </c>
    </row>
    <row r="50" spans="3:14" ht="18">
      <c r="C50" s="62" t="s">
        <v>72</v>
      </c>
      <c r="D50" s="63"/>
      <c r="E50" s="63"/>
      <c r="F50" s="64"/>
      <c r="G50" s="64"/>
      <c r="H50" s="64"/>
      <c r="I50" s="64"/>
      <c r="M50">
        <v>7901</v>
      </c>
      <c r="N50">
        <v>6750</v>
      </c>
    </row>
    <row r="51" spans="3:14" ht="18">
      <c r="C51" s="112" t="s">
        <v>73</v>
      </c>
      <c r="D51" s="65" t="s">
        <v>74</v>
      </c>
      <c r="E51" s="66" t="s">
        <v>75</v>
      </c>
      <c r="F51" s="12">
        <f>O10</f>
        <v>9804</v>
      </c>
      <c r="G51" s="12">
        <f t="shared" ref="G51:I51" si="39">P10</f>
        <v>7768</v>
      </c>
      <c r="H51" s="12">
        <f t="shared" si="39"/>
        <v>9571</v>
      </c>
      <c r="I51" s="12">
        <f t="shared" si="39"/>
        <v>10703</v>
      </c>
      <c r="L51" s="91" t="s">
        <v>59</v>
      </c>
      <c r="M51" s="91">
        <v>2023</v>
      </c>
      <c r="N51" s="91">
        <v>2022</v>
      </c>
    </row>
    <row r="52" spans="3:14" ht="18">
      <c r="C52" s="113"/>
      <c r="D52" s="67" t="s">
        <v>76</v>
      </c>
      <c r="E52" s="68" t="s">
        <v>76</v>
      </c>
      <c r="F52" s="12">
        <f>O27</f>
        <v>7040</v>
      </c>
      <c r="G52" s="12">
        <f t="shared" ref="G52:I52" si="40">P27</f>
        <v>7040</v>
      </c>
      <c r="H52" s="12">
        <f t="shared" si="40"/>
        <v>7040</v>
      </c>
      <c r="I52" s="12">
        <f t="shared" si="40"/>
        <v>7040</v>
      </c>
      <c r="L52" s="91" t="s">
        <v>77</v>
      </c>
      <c r="M52" s="92">
        <v>0.68029963836748797</v>
      </c>
      <c r="N52" s="92">
        <v>0.68402918524523704</v>
      </c>
    </row>
    <row r="53" spans="3:14" ht="18">
      <c r="C53" s="114"/>
      <c r="D53" s="68"/>
      <c r="E53" s="69"/>
      <c r="F53" s="70">
        <f>F51/F52</f>
        <v>1.3926136363636363</v>
      </c>
      <c r="G53" s="70">
        <f t="shared" ref="G53:H53" si="41">G51/G52</f>
        <v>1.103409090909091</v>
      </c>
      <c r="H53" s="70">
        <f t="shared" si="41"/>
        <v>1.3595170454545455</v>
      </c>
      <c r="I53" s="70">
        <f>I51/I52</f>
        <v>1.5203125</v>
      </c>
      <c r="L53" s="91" t="s">
        <v>78</v>
      </c>
      <c r="M53" s="91">
        <v>0.72</v>
      </c>
      <c r="N53" s="91">
        <v>0.76</v>
      </c>
    </row>
  </sheetData>
  <mergeCells count="23">
    <mergeCell ref="C51:C53"/>
    <mergeCell ref="D6:D8"/>
    <mergeCell ref="D11:D12"/>
    <mergeCell ref="D15:D16"/>
    <mergeCell ref="D20:D21"/>
    <mergeCell ref="D24:D25"/>
    <mergeCell ref="D30:D31"/>
    <mergeCell ref="D36:D39"/>
    <mergeCell ref="D42:D43"/>
    <mergeCell ref="D46:D47"/>
    <mergeCell ref="C6:C9"/>
    <mergeCell ref="C11:C13"/>
    <mergeCell ref="C15:C17"/>
    <mergeCell ref="C20:C22"/>
    <mergeCell ref="C24:C27"/>
    <mergeCell ref="C30:C33"/>
    <mergeCell ref="N4:R5"/>
    <mergeCell ref="N15:R16"/>
    <mergeCell ref="C36:C39"/>
    <mergeCell ref="C42:C44"/>
    <mergeCell ref="C46:C48"/>
    <mergeCell ref="J28:L28"/>
    <mergeCell ref="J34:L34"/>
  </mergeCells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D0EE-9AAB-4464-A37F-1206121060E1}">
  <dimension ref="B1:Z5"/>
  <sheetViews>
    <sheetView showGridLines="0" tabSelected="1" topLeftCell="A2" zoomScale="38" zoomScaleNormal="49" zoomScaleSheetLayoutView="40" workbookViewId="0">
      <selection activeCell="AP19" sqref="AP19"/>
    </sheetView>
  </sheetViews>
  <sheetFormatPr defaultRowHeight="14.5"/>
  <cols>
    <col min="2" max="2" width="9.1796875" customWidth="1"/>
    <col min="3" max="3" width="12.26953125" customWidth="1"/>
    <col min="4" max="4" width="34" bestFit="1" customWidth="1"/>
    <col min="5" max="5" width="24.08984375" bestFit="1" customWidth="1"/>
    <col min="22" max="22" width="9.81640625" customWidth="1"/>
  </cols>
  <sheetData>
    <row r="1" spans="2:26" ht="49" thickBot="1"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7" t="s">
        <v>80</v>
      </c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</row>
    <row r="2" spans="2:26" ht="18.5" customHeight="1">
      <c r="B2" s="135"/>
      <c r="C2" s="135"/>
      <c r="D2" s="135"/>
      <c r="E2" s="135"/>
    </row>
    <row r="3" spans="2:26">
      <c r="B3" s="135"/>
      <c r="C3" s="135"/>
      <c r="D3" s="135"/>
      <c r="E3" s="135"/>
    </row>
    <row r="4" spans="2:26">
      <c r="B4" s="135"/>
      <c r="C4" s="135"/>
      <c r="D4" s="135"/>
      <c r="E4" s="135"/>
    </row>
    <row r="5" spans="2:26">
      <c r="B5" s="135"/>
    </row>
  </sheetData>
  <pageMargins left="0.7" right="0.7" top="0.75" bottom="0.75" header="0.3" footer="0.3"/>
  <pageSetup scale="2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 Raw Data </vt:lpstr>
      <vt:lpstr>Overview</vt:lpstr>
      <vt:lpstr>Ratio Calculations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 Uel</dc:creator>
  <cp:lastModifiedBy>Sarah Ebabhiose Abhulimhen</cp:lastModifiedBy>
  <cp:lastPrinted>2026-07-21T05:51:23Z</cp:lastPrinted>
  <dcterms:created xsi:type="dcterms:W3CDTF">2021-10-10T17:57:00Z</dcterms:created>
  <dcterms:modified xsi:type="dcterms:W3CDTF">2026-07-21T06:02:15Z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504CF2F8DAE34FCA8509F86152FA6853_12</vt:lpwstr>
  </property>
  <property fmtid="{D5CDD505-2E9C-101B-9397-08002B2CF9AE}" pid="3" name="KSOProductBuildVer">
    <vt:lpwstr>1033-12.2.0.21179</vt:lpwstr>
  </property>
</Properties>
</file>